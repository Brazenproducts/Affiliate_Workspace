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cing Analysis" state="visible" r:id="rId4"/>
  </sheets>
  <calcPr calcId="171027"/>
</workbook>
</file>

<file path=xl/sharedStrings.xml><?xml version="1.0" encoding="utf-8"?>
<sst xmlns="http://schemas.openxmlformats.org/spreadsheetml/2006/main" count="177" uniqueCount="75">
  <si>
    <t>Factor Filter — Complete Pricing Analysis (Updated 5/4/2026)</t>
  </si>
  <si>
    <t>Target Margin %:</t>
  </si>
  <si>
    <t>&lt;-- Change this to recalculate all prices</t>
  </si>
  <si>
    <t>Size</t>
  </si>
  <si>
    <t>MERV</t>
  </si>
  <si>
    <t>Case Qty</t>
  </si>
  <si>
    <t>COGS/filter</t>
  </si>
  <si>
    <t>Ship/case</t>
  </si>
  <si>
    <t>Ship/filter</t>
  </si>
  <si>
    <t>Total Cost/filter</t>
  </si>
  <si>
    <t>Total Cost/case</t>
  </si>
  <si>
    <t>Our Price/case</t>
  </si>
  <si>
    <t>Our Price/filter</t>
  </si>
  <si>
    <t>Profit/case</t>
  </si>
  <si>
    <t>Profit/filter</t>
  </si>
  <si>
    <t>Margin %</t>
  </si>
  <si>
    <t>FB 1-pk</t>
  </si>
  <si>
    <t>FB 4-pk</t>
  </si>
  <si>
    <t>FB 6-pk</t>
  </si>
  <si>
    <t>FB 12+</t>
  </si>
  <si>
    <t>FK 4-pk</t>
  </si>
  <si>
    <t>FK 6-pk</t>
  </si>
  <si>
    <t>FK 12+</t>
  </si>
  <si>
    <t>Min Price/filter (formula)</t>
  </si>
  <si>
    <t>10x20x1</t>
  </si>
  <si>
    <t>10x24x1</t>
  </si>
  <si>
    <t>12x20x1</t>
  </si>
  <si>
    <t>12x24x1</t>
  </si>
  <si>
    <t>12x25x1</t>
  </si>
  <si>
    <t>14x18x1</t>
  </si>
  <si>
    <t>14x20x1</t>
  </si>
  <si>
    <t>14x24x1</t>
  </si>
  <si>
    <t>14x25x1</t>
  </si>
  <si>
    <t>14x30x1</t>
  </si>
  <si>
    <t>15x20x1</t>
  </si>
  <si>
    <t>16x20x1</t>
  </si>
  <si>
    <t>16x24x1</t>
  </si>
  <si>
    <t>16x25x1</t>
  </si>
  <si>
    <t>16x30x1</t>
  </si>
  <si>
    <t>18x18x1</t>
  </si>
  <si>
    <t>18x20x1</t>
  </si>
  <si>
    <t>18x24x1</t>
  </si>
  <si>
    <t>18x25x1</t>
  </si>
  <si>
    <t>20x20x1</t>
  </si>
  <si>
    <t>20x22x1</t>
  </si>
  <si>
    <t>20x24x1</t>
  </si>
  <si>
    <t>20x25x1</t>
  </si>
  <si>
    <t>20x30x1</t>
  </si>
  <si>
    <t>24x24x1</t>
  </si>
  <si>
    <t>25x25x1</t>
  </si>
  <si>
    <t>12x24x2</t>
  </si>
  <si>
    <t>14x20x2</t>
  </si>
  <si>
    <t>15x20x2</t>
  </si>
  <si>
    <t>16x20x2</t>
  </si>
  <si>
    <t>16x24x2</t>
  </si>
  <si>
    <t>16x25x2</t>
  </si>
  <si>
    <t>18x20x2</t>
  </si>
  <si>
    <t>18x24x2</t>
  </si>
  <si>
    <t>18x25x2</t>
  </si>
  <si>
    <t>20x20x2</t>
  </si>
  <si>
    <t>20x24x2</t>
  </si>
  <si>
    <t>20x25x2</t>
  </si>
  <si>
    <t>20x30x2</t>
  </si>
  <si>
    <t>20x35x2</t>
  </si>
  <si>
    <t>12x24x4</t>
  </si>
  <si>
    <t>16x20x4</t>
  </si>
  <si>
    <t>16x25x4</t>
  </si>
  <si>
    <t>18x24x4</t>
  </si>
  <si>
    <t>20x20x4</t>
  </si>
  <si>
    <t>20x24x4</t>
  </si>
  <si>
    <t>20x25x4</t>
  </si>
  <si>
    <t>24x24x4</t>
  </si>
  <si>
    <t>16x25x5</t>
  </si>
  <si>
    <t>20x20x5</t>
  </si>
  <si>
    <t>20x25x5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</si>
</sst>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$#,##0.00"/>
    <numFmt numFmtId="165" formatCode="0.0%"/>
  </numFmts>
  <fonts count="6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0000FF"/>
    </font>
    <font>
      <i/>
      <color rgb="FF666666"/>
    </font>
    <font>
      <b/>
      <sz val="10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9" fontId="3" fillId="0" borderId="0" xfId="0" applyNumberFormat="1" applyFont="1"/>
    <xf numFmtId="0" fontId="4" fillId="0" borderId="0" xfId="0" applyFont="1"/>
    <xf numFmtId="0" fontId="5" fillId="2" borderId="1" xfId="0" applyFont="1" applyFill="1" applyBorder="1"/>
    <xf numFmtId="0" fontId="0" fillId="3" borderId="0" xfId="0" applyFill="1"/>
    <xf numFmtId="164" fontId="0" fillId="3" borderId="0" xfId="0" applyNumberFormat="1" applyFill="1"/>
    <xf numFmtId="165" fontId="0" fillId="3" borderId="0" xfId="0" applyNumberFormat="1" applyFill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56"/>
  <sheetViews>
    <sheetView workbookViewId="0">
      <pane xSplit="3" ySplit="3" topLeftCell="D4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7" customWidth="1"/>
    <col min="3" max="3" width="8" customWidth="1"/>
    <col min="4" max="4" width="12" customWidth="1"/>
    <col min="5" max="6" width="11" customWidth="1"/>
    <col min="7" max="8" width="14" customWidth="1"/>
    <col min="9" max="10" width="13" customWidth="1"/>
    <col min="11" max="12" width="11" customWidth="1"/>
    <col min="13" max="13" width="10" customWidth="1"/>
    <col min="21" max="21" width="18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3" x14ac:dyDescent="0.25">
      <c r="A2" s="2" t="s">
        <v>1</v>
      </c>
      <c r="B2" s="3">
        <v>0.15</v>
      </c>
      <c r="C2" s="4" t="s">
        <v>2</v>
      </c>
    </row>
    <row r="3" spans="1:21" x14ac:dyDescent="0.25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5" t="s">
        <v>10</v>
      </c>
      <c r="I3" s="5" t="s">
        <v>11</v>
      </c>
      <c r="J3" s="5" t="s">
        <v>12</v>
      </c>
      <c r="K3" s="5" t="s">
        <v>13</v>
      </c>
      <c r="L3" s="5" t="s">
        <v>14</v>
      </c>
      <c r="M3" s="5" t="s">
        <v>15</v>
      </c>
      <c r="N3" s="5" t="s">
        <v>16</v>
      </c>
      <c r="O3" s="5" t="s">
        <v>17</v>
      </c>
      <c r="P3" s="5" t="s">
        <v>18</v>
      </c>
      <c r="Q3" s="5" t="s">
        <v>19</v>
      </c>
      <c r="R3" s="5" t="s">
        <v>20</v>
      </c>
      <c r="S3" s="5" t="s">
        <v>21</v>
      </c>
      <c r="T3" s="5" t="s">
        <v>22</v>
      </c>
      <c r="U3" s="5" t="s">
        <v>23</v>
      </c>
    </row>
    <row r="4" spans="1:21" x14ac:dyDescent="0.25">
      <c r="A4" s="6" t="s">
        <v>24</v>
      </c>
      <c r="B4" s="6">
        <v>8</v>
      </c>
      <c r="C4" s="6">
        <v>12</v>
      </c>
      <c r="D4" s="7">
        <v>4.48</v>
      </c>
      <c r="E4" s="7">
        <v>22.58</v>
      </c>
      <c r="F4" s="7">
        <f>E4/C4</f>
      </c>
      <c r="G4" s="7">
        <f>D4+F4</f>
      </c>
      <c r="H4" s="7">
        <f>G4*C4</f>
      </c>
      <c r="I4" s="7">
        <f>H4/(1-$B$2)</f>
      </c>
      <c r="J4" s="7">
        <f>I4/C4</f>
      </c>
      <c r="K4" s="7">
        <f>I4-H4</f>
      </c>
      <c r="L4" s="7">
        <f>K4/C4</f>
      </c>
      <c r="M4" s="8">
        <f>K4/I4</f>
      </c>
      <c r="N4" s="7"/>
      <c r="O4" s="7"/>
      <c r="P4" s="7"/>
      <c r="Q4" s="7"/>
      <c r="R4" s="7"/>
      <c r="S4" s="7"/>
      <c r="T4" s="7"/>
      <c r="U4" s="7">
        <f>G4/(1-$B$2)</f>
      </c>
    </row>
    <row r="5" spans="1:21" x14ac:dyDescent="0.25">
      <c r="A5" t="s">
        <v>24</v>
      </c>
      <c r="B5">
        <v>10</v>
      </c>
      <c r="C5">
        <v>12</v>
      </c>
      <c r="D5" s="9">
        <v>4.93</v>
      </c>
      <c r="E5" s="9">
        <v>22.58</v>
      </c>
      <c r="F5" s="9">
        <f>E5/C5</f>
      </c>
      <c r="G5" s="9">
        <f>D5+F5</f>
      </c>
      <c r="H5" s="9">
        <f>G5*C5</f>
      </c>
      <c r="I5" s="9">
        <f>H5/(1-$B$2)</f>
      </c>
      <c r="J5" s="9">
        <f>I5/C5</f>
      </c>
      <c r="K5" s="9">
        <f>I5-H5</f>
      </c>
      <c r="L5" s="9">
        <f>K5/C5</f>
      </c>
      <c r="M5" s="10">
        <f>K5/I5</f>
      </c>
      <c r="N5" s="9"/>
      <c r="O5" s="9"/>
      <c r="P5" s="9"/>
      <c r="Q5" s="9"/>
      <c r="R5" s="9"/>
      <c r="S5" s="9"/>
      <c r="T5" s="9"/>
      <c r="U5" s="9">
        <f>G5/(1-$B$2)</f>
      </c>
    </row>
    <row r="6" spans="1:21" x14ac:dyDescent="0.25">
      <c r="A6" s="6" t="s">
        <v>24</v>
      </c>
      <c r="B6" s="6">
        <v>13</v>
      </c>
      <c r="C6" s="6">
        <v>12</v>
      </c>
      <c r="D6" s="7">
        <v>8.07</v>
      </c>
      <c r="E6" s="7">
        <v>22.58</v>
      </c>
      <c r="F6" s="7">
        <f>E6/C6</f>
      </c>
      <c r="G6" s="7">
        <f>D6+F6</f>
      </c>
      <c r="H6" s="7">
        <f>G6*C6</f>
      </c>
      <c r="I6" s="7">
        <f>H6/(1-$B$2)</f>
      </c>
      <c r="J6" s="7">
        <f>I6/C6</f>
      </c>
      <c r="K6" s="7">
        <f>I6-H6</f>
      </c>
      <c r="L6" s="7">
        <f>K6/C6</f>
      </c>
      <c r="M6" s="8">
        <f>K6/I6</f>
      </c>
      <c r="N6" s="7"/>
      <c r="O6" s="7"/>
      <c r="P6" s="7"/>
      <c r="Q6" s="7"/>
      <c r="R6" s="7"/>
      <c r="S6" s="7"/>
      <c r="T6" s="7"/>
      <c r="U6" s="7">
        <f>G6/(1-$B$2)</f>
      </c>
    </row>
    <row r="7" spans="1:21" x14ac:dyDescent="0.25">
      <c r="A7" t="s">
        <v>25</v>
      </c>
      <c r="B7">
        <v>8</v>
      </c>
      <c r="C7">
        <v>12</v>
      </c>
      <c r="D7" s="9">
        <v>4.55</v>
      </c>
      <c r="E7" s="9">
        <v>24.36</v>
      </c>
      <c r="F7" s="9">
        <f>E7/C7</f>
      </c>
      <c r="G7" s="9">
        <f>D7+F7</f>
      </c>
      <c r="H7" s="9">
        <f>G7*C7</f>
      </c>
      <c r="I7" s="9">
        <f>H7/(1-$B$2)</f>
      </c>
      <c r="J7" s="9">
        <f>I7/C7</f>
      </c>
      <c r="K7" s="9">
        <f>I7-H7</f>
      </c>
      <c r="L7" s="9">
        <f>K7/C7</f>
      </c>
      <c r="M7" s="10">
        <f>K7/I7</f>
      </c>
      <c r="N7" s="9"/>
      <c r="O7" s="9"/>
      <c r="P7" s="9"/>
      <c r="Q7" s="9"/>
      <c r="R7" s="9"/>
      <c r="S7" s="9"/>
      <c r="T7" s="9"/>
      <c r="U7" s="9">
        <f>G7/(1-$B$2)</f>
      </c>
    </row>
    <row r="8" spans="1:21" x14ac:dyDescent="0.25">
      <c r="A8" s="6" t="s">
        <v>25</v>
      </c>
      <c r="B8" s="6">
        <v>10</v>
      </c>
      <c r="C8" s="6">
        <v>12</v>
      </c>
      <c r="D8" s="7">
        <v>5.01</v>
      </c>
      <c r="E8" s="7">
        <v>24.36</v>
      </c>
      <c r="F8" s="7">
        <f>E8/C8</f>
      </c>
      <c r="G8" s="7">
        <f>D8+F8</f>
      </c>
      <c r="H8" s="7">
        <f>G8*C8</f>
      </c>
      <c r="I8" s="7">
        <f>H8/(1-$B$2)</f>
      </c>
      <c r="J8" s="7">
        <f>I8/C8</f>
      </c>
      <c r="K8" s="7">
        <f>I8-H8</f>
      </c>
      <c r="L8" s="7">
        <f>K8/C8</f>
      </c>
      <c r="M8" s="8">
        <f>K8/I8</f>
      </c>
      <c r="N8" s="7"/>
      <c r="O8" s="7"/>
      <c r="P8" s="7"/>
      <c r="Q8" s="7"/>
      <c r="R8" s="7"/>
      <c r="S8" s="7"/>
      <c r="T8" s="7"/>
      <c r="U8" s="7">
        <f>G8/(1-$B$2)</f>
      </c>
    </row>
    <row r="9" spans="1:21" x14ac:dyDescent="0.25">
      <c r="A9" t="s">
        <v>25</v>
      </c>
      <c r="B9">
        <v>13</v>
      </c>
      <c r="C9">
        <v>12</v>
      </c>
      <c r="D9" s="9">
        <v>8.2</v>
      </c>
      <c r="E9" s="9">
        <v>24.36</v>
      </c>
      <c r="F9" s="9">
        <f>E9/C9</f>
      </c>
      <c r="G9" s="9">
        <f>D9+F9</f>
      </c>
      <c r="H9" s="9">
        <f>G9*C9</f>
      </c>
      <c r="I9" s="9">
        <f>H9/(1-$B$2)</f>
      </c>
      <c r="J9" s="9">
        <f>I9/C9</f>
      </c>
      <c r="K9" s="9">
        <f>I9-H9</f>
      </c>
      <c r="L9" s="9">
        <f>K9/C9</f>
      </c>
      <c r="M9" s="10">
        <f>K9/I9</f>
      </c>
      <c r="N9" s="9"/>
      <c r="O9" s="9"/>
      <c r="P9" s="9"/>
      <c r="Q9" s="9"/>
      <c r="R9" s="9"/>
      <c r="S9" s="9"/>
      <c r="T9" s="9"/>
      <c r="U9" s="9">
        <f>G9/(1-$B$2)</f>
      </c>
    </row>
    <row r="10" spans="1:21" x14ac:dyDescent="0.25">
      <c r="A10" s="6" t="s">
        <v>26</v>
      </c>
      <c r="B10" s="6">
        <v>8</v>
      </c>
      <c r="C10" s="6">
        <v>12</v>
      </c>
      <c r="D10" s="7">
        <v>4.36</v>
      </c>
      <c r="E10" s="7">
        <v>24.36</v>
      </c>
      <c r="F10" s="7">
        <f>E10/C10</f>
      </c>
      <c r="G10" s="7">
        <f>D10+F10</f>
      </c>
      <c r="H10" s="7">
        <f>G10*C10</f>
      </c>
      <c r="I10" s="7">
        <f>H10/(1-$B$2)</f>
      </c>
      <c r="J10" s="7">
        <f>I10/C10</f>
      </c>
      <c r="K10" s="7">
        <f>I10-H10</f>
      </c>
      <c r="L10" s="7">
        <f>K10/C10</f>
      </c>
      <c r="M10" s="8">
        <f>K10/I10</f>
      </c>
      <c r="N10" s="7"/>
      <c r="O10" s="7"/>
      <c r="P10" s="7"/>
      <c r="Q10" s="7"/>
      <c r="R10" s="7"/>
      <c r="S10" s="7"/>
      <c r="T10" s="7"/>
      <c r="U10" s="7">
        <f>G10/(1-$B$2)</f>
      </c>
    </row>
    <row r="11" spans="1:21" x14ac:dyDescent="0.25">
      <c r="A11" t="s">
        <v>26</v>
      </c>
      <c r="B11">
        <v>10</v>
      </c>
      <c r="C11">
        <v>12</v>
      </c>
      <c r="D11" s="9">
        <v>4.8</v>
      </c>
      <c r="E11" s="9">
        <v>24.36</v>
      </c>
      <c r="F11" s="9">
        <f>E11/C11</f>
      </c>
      <c r="G11" s="9">
        <f>D11+F11</f>
      </c>
      <c r="H11" s="9">
        <f>G11*C11</f>
      </c>
      <c r="I11" s="9">
        <f>H11/(1-$B$2)</f>
      </c>
      <c r="J11" s="9">
        <f>I11/C11</f>
      </c>
      <c r="K11" s="9">
        <f>I11-H11</f>
      </c>
      <c r="L11" s="9">
        <f>K11/C11</f>
      </c>
      <c r="M11" s="10">
        <f>K11/I11</f>
      </c>
      <c r="N11" s="9"/>
      <c r="O11" s="9"/>
      <c r="P11" s="9"/>
      <c r="Q11" s="9"/>
      <c r="R11" s="9"/>
      <c r="S11" s="9"/>
      <c r="T11" s="9"/>
      <c r="U11" s="9">
        <f>G11/(1-$B$2)</f>
      </c>
    </row>
    <row r="12" spans="1:21" x14ac:dyDescent="0.25">
      <c r="A12" s="6" t="s">
        <v>26</v>
      </c>
      <c r="B12" s="6">
        <v>13</v>
      </c>
      <c r="C12" s="6">
        <v>12</v>
      </c>
      <c r="D12" s="7">
        <v>7.85</v>
      </c>
      <c r="E12" s="7">
        <v>24.36</v>
      </c>
      <c r="F12" s="7">
        <f>E12/C12</f>
      </c>
      <c r="G12" s="7">
        <f>D12+F12</f>
      </c>
      <c r="H12" s="7">
        <f>G12*C12</f>
      </c>
      <c r="I12" s="7">
        <f>H12/(1-$B$2)</f>
      </c>
      <c r="J12" s="7">
        <f>I12/C12</f>
      </c>
      <c r="K12" s="7">
        <f>I12-H12</f>
      </c>
      <c r="L12" s="7">
        <f>K12/C12</f>
      </c>
      <c r="M12" s="8">
        <f>K12/I12</f>
      </c>
      <c r="N12" s="7"/>
      <c r="O12" s="7"/>
      <c r="P12" s="7"/>
      <c r="Q12" s="7"/>
      <c r="R12" s="7"/>
      <c r="S12" s="7"/>
      <c r="T12" s="7"/>
      <c r="U12" s="7">
        <f>G12/(1-$B$2)</f>
      </c>
    </row>
    <row r="13" spans="1:21" x14ac:dyDescent="0.25">
      <c r="A13" t="s">
        <v>27</v>
      </c>
      <c r="B13">
        <v>8</v>
      </c>
      <c r="C13">
        <v>12</v>
      </c>
      <c r="D13" s="9">
        <v>4.51</v>
      </c>
      <c r="E13" s="9">
        <v>26.61</v>
      </c>
      <c r="F13" s="9">
        <f>E13/C13</f>
      </c>
      <c r="G13" s="9">
        <f>D13+F13</f>
      </c>
      <c r="H13" s="9">
        <f>G13*C13</f>
      </c>
      <c r="I13" s="9">
        <f>H13/(1-$B$2)</f>
      </c>
      <c r="J13" s="9">
        <f>I13/C13</f>
      </c>
      <c r="K13" s="9">
        <f>I13-H13</f>
      </c>
      <c r="L13" s="9">
        <f>K13/C13</f>
      </c>
      <c r="M13" s="10">
        <f>K13/I13</f>
      </c>
      <c r="N13" s="9">
        <v>23.99</v>
      </c>
      <c r="O13" s="9"/>
      <c r="P13" s="9"/>
      <c r="Q13" s="9">
        <v>6.41</v>
      </c>
      <c r="R13" s="9"/>
      <c r="S13" s="9"/>
      <c r="T13" s="9"/>
      <c r="U13" s="9">
        <f>G13/(1-$B$2)</f>
      </c>
    </row>
    <row r="14" spans="1:21" x14ac:dyDescent="0.25">
      <c r="A14" s="6" t="s">
        <v>27</v>
      </c>
      <c r="B14" s="6">
        <v>10</v>
      </c>
      <c r="C14" s="6">
        <v>12</v>
      </c>
      <c r="D14" s="7">
        <v>4.96</v>
      </c>
      <c r="E14" s="7">
        <v>26.61</v>
      </c>
      <c r="F14" s="7">
        <f>E14/C14</f>
      </c>
      <c r="G14" s="7">
        <f>D14+F14</f>
      </c>
      <c r="H14" s="7">
        <f>G14*C14</f>
      </c>
      <c r="I14" s="7">
        <f>H14/(1-$B$2)</f>
      </c>
      <c r="J14" s="7">
        <f>I14/C14</f>
      </c>
      <c r="K14" s="7">
        <f>I14-H14</f>
      </c>
      <c r="L14" s="7">
        <f>K14/C14</f>
      </c>
      <c r="M14" s="8">
        <f>K14/I14</f>
      </c>
      <c r="N14" s="7"/>
      <c r="O14" s="7"/>
      <c r="P14" s="7"/>
      <c r="Q14" s="7"/>
      <c r="R14" s="7"/>
      <c r="S14" s="7"/>
      <c r="T14" s="7"/>
      <c r="U14" s="7">
        <f>G14/(1-$B$2)</f>
      </c>
    </row>
    <row r="15" spans="1:21" x14ac:dyDescent="0.25">
      <c r="A15" t="s">
        <v>27</v>
      </c>
      <c r="B15">
        <v>13</v>
      </c>
      <c r="C15">
        <v>12</v>
      </c>
      <c r="D15" s="9">
        <v>8.12</v>
      </c>
      <c r="E15" s="9">
        <v>26.61</v>
      </c>
      <c r="F15" s="9">
        <f>E15/C15</f>
      </c>
      <c r="G15" s="9">
        <f>D15+F15</f>
      </c>
      <c r="H15" s="9">
        <f>G15*C15</f>
      </c>
      <c r="I15" s="9">
        <f>H15/(1-$B$2)</f>
      </c>
      <c r="J15" s="9">
        <f>I15/C15</f>
      </c>
      <c r="K15" s="9">
        <f>I15-H15</f>
      </c>
      <c r="L15" s="9">
        <f>K15/C15</f>
      </c>
      <c r="M15" s="10">
        <f>K15/I15</f>
      </c>
      <c r="N15" s="9">
        <v>30.99</v>
      </c>
      <c r="O15" s="9">
        <v>12.49</v>
      </c>
      <c r="P15" s="9">
        <v>10.49</v>
      </c>
      <c r="Q15" s="9">
        <v>9.99</v>
      </c>
      <c r="R15" s="9"/>
      <c r="S15" s="9"/>
      <c r="T15" s="9"/>
      <c r="U15" s="9">
        <f>G15/(1-$B$2)</f>
      </c>
    </row>
    <row r="16" spans="1:21" x14ac:dyDescent="0.25">
      <c r="A16" s="6" t="s">
        <v>28</v>
      </c>
      <c r="B16" s="6">
        <v>8</v>
      </c>
      <c r="C16" s="6">
        <v>12</v>
      </c>
      <c r="D16" s="7">
        <v>4.71</v>
      </c>
      <c r="E16" s="7">
        <v>27.2</v>
      </c>
      <c r="F16" s="7">
        <f>E16/C16</f>
      </c>
      <c r="G16" s="7">
        <f>D16+F16</f>
      </c>
      <c r="H16" s="7">
        <f>G16*C16</f>
      </c>
      <c r="I16" s="7">
        <f>H16/(1-$B$2)</f>
      </c>
      <c r="J16" s="7">
        <f>I16/C16</f>
      </c>
      <c r="K16" s="7">
        <f>I16-H16</f>
      </c>
      <c r="L16" s="7">
        <f>K16/C16</f>
      </c>
      <c r="M16" s="8">
        <f>K16/I16</f>
      </c>
      <c r="N16" s="7"/>
      <c r="O16" s="7"/>
      <c r="P16" s="7"/>
      <c r="Q16" s="7"/>
      <c r="R16" s="7"/>
      <c r="S16" s="7"/>
      <c r="T16" s="7"/>
      <c r="U16" s="7">
        <f>G16/(1-$B$2)</f>
      </c>
    </row>
    <row r="17" spans="1:21" x14ac:dyDescent="0.25">
      <c r="A17" t="s">
        <v>28</v>
      </c>
      <c r="B17">
        <v>10</v>
      </c>
      <c r="C17">
        <v>12</v>
      </c>
      <c r="D17" s="9">
        <v>5.18</v>
      </c>
      <c r="E17" s="9">
        <v>27.2</v>
      </c>
      <c r="F17" s="9">
        <f>E17/C17</f>
      </c>
      <c r="G17" s="9">
        <f>D17+F17</f>
      </c>
      <c r="H17" s="9">
        <f>G17*C17</f>
      </c>
      <c r="I17" s="9">
        <f>H17/(1-$B$2)</f>
      </c>
      <c r="J17" s="9">
        <f>I17/C17</f>
      </c>
      <c r="K17" s="9">
        <f>I17-H17</f>
      </c>
      <c r="L17" s="9">
        <f>K17/C17</f>
      </c>
      <c r="M17" s="10">
        <f>K17/I17</f>
      </c>
      <c r="N17" s="9"/>
      <c r="O17" s="9"/>
      <c r="P17" s="9"/>
      <c r="Q17" s="9"/>
      <c r="R17" s="9"/>
      <c r="S17" s="9"/>
      <c r="T17" s="9"/>
      <c r="U17" s="9">
        <f>G17/(1-$B$2)</f>
      </c>
    </row>
    <row r="18" spans="1:21" x14ac:dyDescent="0.25">
      <c r="A18" s="6" t="s">
        <v>28</v>
      </c>
      <c r="B18" s="6">
        <v>13</v>
      </c>
      <c r="C18" s="6">
        <v>12</v>
      </c>
      <c r="D18" s="7">
        <v>8.48</v>
      </c>
      <c r="E18" s="7">
        <v>27.2</v>
      </c>
      <c r="F18" s="7">
        <f>E18/C18</f>
      </c>
      <c r="G18" s="7">
        <f>D18+F18</f>
      </c>
      <c r="H18" s="7">
        <f>G18*C18</f>
      </c>
      <c r="I18" s="7">
        <f>H18/(1-$B$2)</f>
      </c>
      <c r="J18" s="7">
        <f>I18/C18</f>
      </c>
      <c r="K18" s="7">
        <f>I18-H18</f>
      </c>
      <c r="L18" s="7">
        <f>K18/C18</f>
      </c>
      <c r="M18" s="8">
        <f>K18/I18</f>
      </c>
      <c r="N18" s="7"/>
      <c r="O18" s="7"/>
      <c r="P18" s="7"/>
      <c r="Q18" s="7"/>
      <c r="R18" s="7"/>
      <c r="S18" s="7"/>
      <c r="T18" s="7"/>
      <c r="U18" s="7">
        <f>G18/(1-$B$2)</f>
      </c>
    </row>
    <row r="19" spans="1:21" x14ac:dyDescent="0.25">
      <c r="A19" t="s">
        <v>29</v>
      </c>
      <c r="B19">
        <v>8</v>
      </c>
      <c r="C19">
        <v>12</v>
      </c>
      <c r="D19" s="9">
        <v>5.17</v>
      </c>
      <c r="E19" s="9">
        <v>26.61</v>
      </c>
      <c r="F19" s="9">
        <f>E19/C19</f>
      </c>
      <c r="G19" s="9">
        <f>D19+F19</f>
      </c>
      <c r="H19" s="9">
        <f>G19*C19</f>
      </c>
      <c r="I19" s="9">
        <f>H19/(1-$B$2)</f>
      </c>
      <c r="J19" s="9">
        <f>I19/C19</f>
      </c>
      <c r="K19" s="9">
        <f>I19-H19</f>
      </c>
      <c r="L19" s="9">
        <f>K19/C19</f>
      </c>
      <c r="M19" s="10">
        <f>K19/I19</f>
      </c>
      <c r="N19" s="9"/>
      <c r="O19" s="9"/>
      <c r="P19" s="9"/>
      <c r="Q19" s="9"/>
      <c r="R19" s="9"/>
      <c r="S19" s="9"/>
      <c r="T19" s="9"/>
      <c r="U19" s="9">
        <f>G19/(1-$B$2)</f>
      </c>
    </row>
    <row r="20" spans="1:21" x14ac:dyDescent="0.25">
      <c r="A20" s="6" t="s">
        <v>29</v>
      </c>
      <c r="B20" s="6">
        <v>10</v>
      </c>
      <c r="C20" s="6">
        <v>12</v>
      </c>
      <c r="D20" s="7">
        <v>5.68</v>
      </c>
      <c r="E20" s="7">
        <v>26.61</v>
      </c>
      <c r="F20" s="7">
        <f>E20/C20</f>
      </c>
      <c r="G20" s="7">
        <f>D20+F20</f>
      </c>
      <c r="H20" s="7">
        <f>G20*C20</f>
      </c>
      <c r="I20" s="7">
        <f>H20/(1-$B$2)</f>
      </c>
      <c r="J20" s="7">
        <f>I20/C20</f>
      </c>
      <c r="K20" s="7">
        <f>I20-H20</f>
      </c>
      <c r="L20" s="7">
        <f>K20/C20</f>
      </c>
      <c r="M20" s="8">
        <f>K20/I20</f>
      </c>
      <c r="N20" s="7"/>
      <c r="O20" s="7"/>
      <c r="P20" s="7"/>
      <c r="Q20" s="7"/>
      <c r="R20" s="7"/>
      <c r="S20" s="7"/>
      <c r="T20" s="7"/>
      <c r="U20" s="7">
        <f>G20/(1-$B$2)</f>
      </c>
    </row>
    <row r="21" spans="1:21" x14ac:dyDescent="0.25">
      <c r="A21" t="s">
        <v>29</v>
      </c>
      <c r="B21">
        <v>13</v>
      </c>
      <c r="C21">
        <v>12</v>
      </c>
      <c r="D21" s="9">
        <v>9.3</v>
      </c>
      <c r="E21" s="9">
        <v>26.61</v>
      </c>
      <c r="F21" s="9">
        <f>E21/C21</f>
      </c>
      <c r="G21" s="9">
        <f>D21+F21</f>
      </c>
      <c r="H21" s="9">
        <f>G21*C21</f>
      </c>
      <c r="I21" s="9">
        <f>H21/(1-$B$2)</f>
      </c>
      <c r="J21" s="9">
        <f>I21/C21</f>
      </c>
      <c r="K21" s="9">
        <f>I21-H21</f>
      </c>
      <c r="L21" s="9">
        <f>K21/C21</f>
      </c>
      <c r="M21" s="10">
        <f>K21/I21</f>
      </c>
      <c r="N21" s="9"/>
      <c r="O21" s="9"/>
      <c r="P21" s="9"/>
      <c r="Q21" s="9"/>
      <c r="R21" s="9"/>
      <c r="S21" s="9"/>
      <c r="T21" s="9"/>
      <c r="U21" s="9">
        <f>G21/(1-$B$2)</f>
      </c>
    </row>
    <row r="22" spans="1:21" x14ac:dyDescent="0.25">
      <c r="A22" s="6" t="s">
        <v>30</v>
      </c>
      <c r="B22" s="6">
        <v>8</v>
      </c>
      <c r="C22" s="6">
        <v>12</v>
      </c>
      <c r="D22" s="7">
        <v>4.56</v>
      </c>
      <c r="E22" s="7">
        <v>26.61</v>
      </c>
      <c r="F22" s="7">
        <f>E22/C22</f>
      </c>
      <c r="G22" s="7">
        <f>D22+F22</f>
      </c>
      <c r="H22" s="7">
        <f>G22*C22</f>
      </c>
      <c r="I22" s="7">
        <f>H22/(1-$B$2)</f>
      </c>
      <c r="J22" s="7">
        <f>I22/C22</f>
      </c>
      <c r="K22" s="7">
        <f>I22-H22</f>
      </c>
      <c r="L22" s="7">
        <f>K22/C22</f>
      </c>
      <c r="M22" s="8">
        <f>K22/I22</f>
      </c>
      <c r="N22" s="7"/>
      <c r="O22" s="7"/>
      <c r="P22" s="7"/>
      <c r="Q22" s="7"/>
      <c r="R22" s="7"/>
      <c r="S22" s="7"/>
      <c r="T22" s="7"/>
      <c r="U22" s="7">
        <f>G22/(1-$B$2)</f>
      </c>
    </row>
    <row r="23" spans="1:21" x14ac:dyDescent="0.25">
      <c r="A23" t="s">
        <v>30</v>
      </c>
      <c r="B23">
        <v>10</v>
      </c>
      <c r="C23">
        <v>12</v>
      </c>
      <c r="D23" s="9">
        <v>5.02</v>
      </c>
      <c r="E23" s="9">
        <v>26.61</v>
      </c>
      <c r="F23" s="9">
        <f>E23/C23</f>
      </c>
      <c r="G23" s="9">
        <f>D23+F23</f>
      </c>
      <c r="H23" s="9">
        <f>G23*C23</f>
      </c>
      <c r="I23" s="9">
        <f>H23/(1-$B$2)</f>
      </c>
      <c r="J23" s="9">
        <f>I23/C23</f>
      </c>
      <c r="K23" s="9">
        <f>I23-H23</f>
      </c>
      <c r="L23" s="9">
        <f>K23/C23</f>
      </c>
      <c r="M23" s="10">
        <f>K23/I23</f>
      </c>
      <c r="N23" s="9"/>
      <c r="O23" s="9"/>
      <c r="P23" s="9"/>
      <c r="Q23" s="9"/>
      <c r="R23" s="9"/>
      <c r="S23" s="9"/>
      <c r="T23" s="9"/>
      <c r="U23" s="9">
        <f>G23/(1-$B$2)</f>
      </c>
    </row>
    <row r="24" spans="1:21" x14ac:dyDescent="0.25">
      <c r="A24" s="6" t="s">
        <v>30</v>
      </c>
      <c r="B24" s="6">
        <v>13</v>
      </c>
      <c r="C24" s="6">
        <v>12</v>
      </c>
      <c r="D24" s="7">
        <v>8.21</v>
      </c>
      <c r="E24" s="7">
        <v>26.61</v>
      </c>
      <c r="F24" s="7">
        <f>E24/C24</f>
      </c>
      <c r="G24" s="7">
        <f>D24+F24</f>
      </c>
      <c r="H24" s="7">
        <f>G24*C24</f>
      </c>
      <c r="I24" s="7">
        <f>H24/(1-$B$2)</f>
      </c>
      <c r="J24" s="7">
        <f>I24/C24</f>
      </c>
      <c r="K24" s="7">
        <f>I24-H24</f>
      </c>
      <c r="L24" s="7">
        <f>K24/C24</f>
      </c>
      <c r="M24" s="8">
        <f>K24/I24</f>
      </c>
      <c r="N24" s="7"/>
      <c r="O24" s="7"/>
      <c r="P24" s="7"/>
      <c r="Q24" s="7"/>
      <c r="R24" s="7"/>
      <c r="S24" s="7"/>
      <c r="T24" s="7"/>
      <c r="U24" s="7">
        <f>G24/(1-$B$2)</f>
      </c>
    </row>
    <row r="25" spans="1:21" x14ac:dyDescent="0.25">
      <c r="A25" t="s">
        <v>31</v>
      </c>
      <c r="B25">
        <v>8</v>
      </c>
      <c r="C25">
        <v>12</v>
      </c>
      <c r="D25" s="9">
        <v>4.78</v>
      </c>
      <c r="E25" s="9">
        <v>27.7</v>
      </c>
      <c r="F25" s="9">
        <f>E25/C25</f>
      </c>
      <c r="G25" s="9">
        <f>D25+F25</f>
      </c>
      <c r="H25" s="9">
        <f>G25*C25</f>
      </c>
      <c r="I25" s="9">
        <f>H25/(1-$B$2)</f>
      </c>
      <c r="J25" s="9">
        <f>I25/C25</f>
      </c>
      <c r="K25" s="9">
        <f>I25-H25</f>
      </c>
      <c r="L25" s="9">
        <f>K25/C25</f>
      </c>
      <c r="M25" s="10">
        <f>K25/I25</f>
      </c>
      <c r="N25" s="9"/>
      <c r="O25" s="9"/>
      <c r="P25" s="9"/>
      <c r="Q25" s="9"/>
      <c r="R25" s="9"/>
      <c r="S25" s="9"/>
      <c r="T25" s="9"/>
      <c r="U25" s="9">
        <f>G25/(1-$B$2)</f>
      </c>
    </row>
    <row r="26" spans="1:21" x14ac:dyDescent="0.25">
      <c r="A26" s="6" t="s">
        <v>31</v>
      </c>
      <c r="B26" s="6">
        <v>10</v>
      </c>
      <c r="C26" s="6">
        <v>12</v>
      </c>
      <c r="D26" s="7">
        <v>5.25</v>
      </c>
      <c r="E26" s="7">
        <v>27.7</v>
      </c>
      <c r="F26" s="7">
        <f>E26/C26</f>
      </c>
      <c r="G26" s="7">
        <f>D26+F26</f>
      </c>
      <c r="H26" s="7">
        <f>G26*C26</f>
      </c>
      <c r="I26" s="7">
        <f>H26/(1-$B$2)</f>
      </c>
      <c r="J26" s="7">
        <f>I26/C26</f>
      </c>
      <c r="K26" s="7">
        <f>I26-H26</f>
      </c>
      <c r="L26" s="7">
        <f>K26/C26</f>
      </c>
      <c r="M26" s="8">
        <f>K26/I26</f>
      </c>
      <c r="N26" s="7"/>
      <c r="O26" s="7"/>
      <c r="P26" s="7"/>
      <c r="Q26" s="7"/>
      <c r="R26" s="7"/>
      <c r="S26" s="7"/>
      <c r="T26" s="7"/>
      <c r="U26" s="7">
        <f>G26/(1-$B$2)</f>
      </c>
    </row>
    <row r="27" spans="1:21" x14ac:dyDescent="0.25">
      <c r="A27" t="s">
        <v>31</v>
      </c>
      <c r="B27">
        <v>13</v>
      </c>
      <c r="C27">
        <v>12</v>
      </c>
      <c r="D27" s="9">
        <v>8.6</v>
      </c>
      <c r="E27" s="9">
        <v>27.7</v>
      </c>
      <c r="F27" s="9">
        <f>E27/C27</f>
      </c>
      <c r="G27" s="9">
        <f>D27+F27</f>
      </c>
      <c r="H27" s="9">
        <f>G27*C27</f>
      </c>
      <c r="I27" s="9">
        <f>H27/(1-$B$2)</f>
      </c>
      <c r="J27" s="9">
        <f>I27/C27</f>
      </c>
      <c r="K27" s="9">
        <f>I27-H27</f>
      </c>
      <c r="L27" s="9">
        <f>K27/C27</f>
      </c>
      <c r="M27" s="10">
        <f>K27/I27</f>
      </c>
      <c r="N27" s="9"/>
      <c r="O27" s="9"/>
      <c r="P27" s="9"/>
      <c r="Q27" s="9"/>
      <c r="R27" s="9"/>
      <c r="S27" s="9"/>
      <c r="T27" s="9"/>
      <c r="U27" s="9">
        <f>G27/(1-$B$2)</f>
      </c>
    </row>
    <row r="28" spans="1:21" x14ac:dyDescent="0.25">
      <c r="A28" s="6" t="s">
        <v>32</v>
      </c>
      <c r="B28" s="6">
        <v>8</v>
      </c>
      <c r="C28" s="6">
        <v>12</v>
      </c>
      <c r="D28" s="7">
        <v>4.82</v>
      </c>
      <c r="E28" s="7">
        <v>28.54</v>
      </c>
      <c r="F28" s="7">
        <f>E28/C28</f>
      </c>
      <c r="G28" s="7">
        <f>D28+F28</f>
      </c>
      <c r="H28" s="7">
        <f>G28*C28</f>
      </c>
      <c r="I28" s="7">
        <f>H28/(1-$B$2)</f>
      </c>
      <c r="J28" s="7">
        <f>I28/C28</f>
      </c>
      <c r="K28" s="7">
        <f>I28-H28</f>
      </c>
      <c r="L28" s="7">
        <f>K28/C28</f>
      </c>
      <c r="M28" s="8">
        <f>K28/I28</f>
      </c>
      <c r="N28" s="7"/>
      <c r="O28" s="7"/>
      <c r="P28" s="7"/>
      <c r="Q28" s="7"/>
      <c r="R28" s="7"/>
      <c r="S28" s="7"/>
      <c r="T28" s="7"/>
      <c r="U28" s="7">
        <f>G28/(1-$B$2)</f>
      </c>
    </row>
    <row r="29" spans="1:21" x14ac:dyDescent="0.25">
      <c r="A29" t="s">
        <v>32</v>
      </c>
      <c r="B29">
        <v>10</v>
      </c>
      <c r="C29">
        <v>12</v>
      </c>
      <c r="D29" s="9">
        <v>5.3</v>
      </c>
      <c r="E29" s="9">
        <v>28.54</v>
      </c>
      <c r="F29" s="9">
        <f>E29/C29</f>
      </c>
      <c r="G29" s="9">
        <f>D29+F29</f>
      </c>
      <c r="H29" s="9">
        <f>G29*C29</f>
      </c>
      <c r="I29" s="9">
        <f>H29/(1-$B$2)</f>
      </c>
      <c r="J29" s="9">
        <f>I29/C29</f>
      </c>
      <c r="K29" s="9">
        <f>I29-H29</f>
      </c>
      <c r="L29" s="9">
        <f>K29/C29</f>
      </c>
      <c r="M29" s="10">
        <f>K29/I29</f>
      </c>
      <c r="N29" s="9"/>
      <c r="O29" s="9"/>
      <c r="P29" s="9"/>
      <c r="Q29" s="9"/>
      <c r="R29" s="9"/>
      <c r="S29" s="9"/>
      <c r="T29" s="9"/>
      <c r="U29" s="9">
        <f>G29/(1-$B$2)</f>
      </c>
    </row>
    <row r="30" spans="1:21" x14ac:dyDescent="0.25">
      <c r="A30" s="6" t="s">
        <v>32</v>
      </c>
      <c r="B30" s="6">
        <v>13</v>
      </c>
      <c r="C30" s="6">
        <v>12</v>
      </c>
      <c r="D30" s="7">
        <v>8.67</v>
      </c>
      <c r="E30" s="7">
        <v>28.54</v>
      </c>
      <c r="F30" s="7">
        <f>E30/C30</f>
      </c>
      <c r="G30" s="7">
        <f>D30+F30</f>
      </c>
      <c r="H30" s="7">
        <f>G30*C30</f>
      </c>
      <c r="I30" s="7">
        <f>H30/(1-$B$2)</f>
      </c>
      <c r="J30" s="7">
        <f>I30/C30</f>
      </c>
      <c r="K30" s="7">
        <f>I30-H30</f>
      </c>
      <c r="L30" s="7">
        <f>K30/C30</f>
      </c>
      <c r="M30" s="8">
        <f>K30/I30</f>
      </c>
      <c r="N30" s="7"/>
      <c r="O30" s="7"/>
      <c r="P30" s="7"/>
      <c r="Q30" s="7"/>
      <c r="R30" s="7"/>
      <c r="S30" s="7"/>
      <c r="T30" s="7"/>
      <c r="U30" s="7">
        <f>G30/(1-$B$2)</f>
      </c>
    </row>
    <row r="31" spans="1:21" x14ac:dyDescent="0.25">
      <c r="A31" t="s">
        <v>33</v>
      </c>
      <c r="B31">
        <v>8</v>
      </c>
      <c r="C31">
        <v>12</v>
      </c>
      <c r="D31" s="9">
        <v>7.08</v>
      </c>
      <c r="E31" s="9">
        <v>31.93</v>
      </c>
      <c r="F31" s="9">
        <f>E31/C31</f>
      </c>
      <c r="G31" s="9">
        <f>D31+F31</f>
      </c>
      <c r="H31" s="9">
        <f>G31*C31</f>
      </c>
      <c r="I31" s="9">
        <f>H31/(1-$B$2)</f>
      </c>
      <c r="J31" s="9">
        <f>I31/C31</f>
      </c>
      <c r="K31" s="9">
        <f>I31-H31</f>
      </c>
      <c r="L31" s="9">
        <f>K31/C31</f>
      </c>
      <c r="M31" s="10">
        <f>K31/I31</f>
      </c>
      <c r="N31" s="9"/>
      <c r="O31" s="9"/>
      <c r="P31" s="9"/>
      <c r="Q31" s="9"/>
      <c r="R31" s="9"/>
      <c r="S31" s="9"/>
      <c r="T31" s="9"/>
      <c r="U31" s="9">
        <f>G31/(1-$B$2)</f>
      </c>
    </row>
    <row r="32" spans="1:21" x14ac:dyDescent="0.25">
      <c r="A32" s="6" t="s">
        <v>33</v>
      </c>
      <c r="B32" s="6">
        <v>10</v>
      </c>
      <c r="C32" s="6">
        <v>12</v>
      </c>
      <c r="D32" s="7">
        <v>7.79</v>
      </c>
      <c r="E32" s="7">
        <v>31.93</v>
      </c>
      <c r="F32" s="7">
        <f>E32/C32</f>
      </c>
      <c r="G32" s="7">
        <f>D32+F32</f>
      </c>
      <c r="H32" s="7">
        <f>G32*C32</f>
      </c>
      <c r="I32" s="7">
        <f>H32/(1-$B$2)</f>
      </c>
      <c r="J32" s="7">
        <f>I32/C32</f>
      </c>
      <c r="K32" s="7">
        <f>I32-H32</f>
      </c>
      <c r="L32" s="7">
        <f>K32/C32</f>
      </c>
      <c r="M32" s="8">
        <f>K32/I32</f>
      </c>
      <c r="N32" s="7"/>
      <c r="O32" s="7"/>
      <c r="P32" s="7"/>
      <c r="Q32" s="7"/>
      <c r="R32" s="7"/>
      <c r="S32" s="7"/>
      <c r="T32" s="7"/>
      <c r="U32" s="7">
        <f>G32/(1-$B$2)</f>
      </c>
    </row>
    <row r="33" spans="1:21" x14ac:dyDescent="0.25">
      <c r="A33" t="s">
        <v>33</v>
      </c>
      <c r="B33">
        <v>13</v>
      </c>
      <c r="C33">
        <v>12</v>
      </c>
      <c r="D33" s="9">
        <v>12.74</v>
      </c>
      <c r="E33" s="9">
        <v>31.93</v>
      </c>
      <c r="F33" s="9">
        <f>E33/C33</f>
      </c>
      <c r="G33" s="9">
        <f>D33+F33</f>
      </c>
      <c r="H33" s="9">
        <f>G33*C33</f>
      </c>
      <c r="I33" s="9">
        <f>H33/(1-$B$2)</f>
      </c>
      <c r="J33" s="9">
        <f>I33/C33</f>
      </c>
      <c r="K33" s="9">
        <f>I33-H33</f>
      </c>
      <c r="L33" s="9">
        <f>K33/C33</f>
      </c>
      <c r="M33" s="10">
        <f>K33/I33</f>
      </c>
      <c r="N33" s="9"/>
      <c r="O33" s="9"/>
      <c r="P33" s="9"/>
      <c r="Q33" s="9"/>
      <c r="R33" s="9"/>
      <c r="S33" s="9"/>
      <c r="T33" s="9"/>
      <c r="U33" s="9">
        <f>G33/(1-$B$2)</f>
      </c>
    </row>
    <row r="34" spans="1:21" x14ac:dyDescent="0.25">
      <c r="A34" s="6" t="s">
        <v>34</v>
      </c>
      <c r="B34" s="6">
        <v>8</v>
      </c>
      <c r="C34" s="6">
        <v>12</v>
      </c>
      <c r="D34" s="7">
        <v>7.16</v>
      </c>
      <c r="E34" s="7">
        <v>27.2</v>
      </c>
      <c r="F34" s="7">
        <f>E34/C34</f>
      </c>
      <c r="G34" s="7">
        <f>D34+F34</f>
      </c>
      <c r="H34" s="7">
        <f>G34*C34</f>
      </c>
      <c r="I34" s="7">
        <f>H34/(1-$B$2)</f>
      </c>
      <c r="J34" s="7">
        <f>I34/C34</f>
      </c>
      <c r="K34" s="7">
        <f>I34-H34</f>
      </c>
      <c r="L34" s="7">
        <f>K34/C34</f>
      </c>
      <c r="M34" s="8">
        <f>K34/I34</f>
      </c>
      <c r="N34" s="7"/>
      <c r="O34" s="7"/>
      <c r="P34" s="7"/>
      <c r="Q34" s="7"/>
      <c r="R34" s="7"/>
      <c r="S34" s="7"/>
      <c r="T34" s="7"/>
      <c r="U34" s="7">
        <f>G34/(1-$B$2)</f>
      </c>
    </row>
    <row r="35" spans="1:21" x14ac:dyDescent="0.25">
      <c r="A35" t="s">
        <v>34</v>
      </c>
      <c r="B35">
        <v>10</v>
      </c>
      <c r="C35">
        <v>12</v>
      </c>
      <c r="D35" s="9">
        <v>7.88</v>
      </c>
      <c r="E35" s="9">
        <v>27.2</v>
      </c>
      <c r="F35" s="9">
        <f>E35/C35</f>
      </c>
      <c r="G35" s="9">
        <f>D35+F35</f>
      </c>
      <c r="H35" s="9">
        <f>G35*C35</f>
      </c>
      <c r="I35" s="9">
        <f>H35/(1-$B$2)</f>
      </c>
      <c r="J35" s="9">
        <f>I35/C35</f>
      </c>
      <c r="K35" s="9">
        <f>I35-H35</f>
      </c>
      <c r="L35" s="9">
        <f>K35/C35</f>
      </c>
      <c r="M35" s="10">
        <f>K35/I35</f>
      </c>
      <c r="N35" s="9"/>
      <c r="O35" s="9"/>
      <c r="P35" s="9"/>
      <c r="Q35" s="9"/>
      <c r="R35" s="9"/>
      <c r="S35" s="9"/>
      <c r="T35" s="9"/>
      <c r="U35" s="9">
        <f>G35/(1-$B$2)</f>
      </c>
    </row>
    <row r="36" spans="1:21" x14ac:dyDescent="0.25">
      <c r="A36" s="6" t="s">
        <v>34</v>
      </c>
      <c r="B36" s="6">
        <v>13</v>
      </c>
      <c r="C36" s="6">
        <v>12</v>
      </c>
      <c r="D36" s="7">
        <v>12.9</v>
      </c>
      <c r="E36" s="7">
        <v>27.2</v>
      </c>
      <c r="F36" s="7">
        <f>E36/C36</f>
      </c>
      <c r="G36" s="7">
        <f>D36+F36</f>
      </c>
      <c r="H36" s="7">
        <f>G36*C36</f>
      </c>
      <c r="I36" s="7">
        <f>H36/(1-$B$2)</f>
      </c>
      <c r="J36" s="7">
        <f>I36/C36</f>
      </c>
      <c r="K36" s="7">
        <f>I36-H36</f>
      </c>
      <c r="L36" s="7">
        <f>K36/C36</f>
      </c>
      <c r="M36" s="8">
        <f>K36/I36</f>
      </c>
      <c r="N36" s="7"/>
      <c r="O36" s="7"/>
      <c r="P36" s="7"/>
      <c r="Q36" s="7"/>
      <c r="R36" s="7"/>
      <c r="S36" s="7"/>
      <c r="T36" s="7"/>
      <c r="U36" s="7">
        <f>G36/(1-$B$2)</f>
      </c>
    </row>
    <row r="37" spans="1:21" x14ac:dyDescent="0.25">
      <c r="A37" t="s">
        <v>35</v>
      </c>
      <c r="B37">
        <v>8</v>
      </c>
      <c r="C37">
        <v>12</v>
      </c>
      <c r="D37" s="9">
        <v>4.27</v>
      </c>
      <c r="E37" s="9">
        <v>27.86</v>
      </c>
      <c r="F37" s="9">
        <f>E37/C37</f>
      </c>
      <c r="G37" s="9">
        <f>D37+F37</f>
      </c>
      <c r="H37" s="9">
        <f>G37*C37</f>
      </c>
      <c r="I37" s="9">
        <f>H37/(1-$B$2)</f>
      </c>
      <c r="J37" s="9">
        <f>I37/C37</f>
      </c>
      <c r="K37" s="9">
        <f>I37-H37</f>
      </c>
      <c r="L37" s="9">
        <f>K37/C37</f>
      </c>
      <c r="M37" s="10">
        <f>K37/I37</f>
      </c>
      <c r="N37" s="9">
        <v>20.99</v>
      </c>
      <c r="O37" s="9">
        <v>8.24</v>
      </c>
      <c r="P37" s="9">
        <v>6.66</v>
      </c>
      <c r="Q37" s="9">
        <v>6.24</v>
      </c>
      <c r="R37" s="9"/>
      <c r="S37" s="9"/>
      <c r="T37" s="9"/>
      <c r="U37" s="9">
        <f>G37/(1-$B$2)</f>
      </c>
    </row>
    <row r="38" spans="1:21" x14ac:dyDescent="0.25">
      <c r="A38" s="6" t="s">
        <v>35</v>
      </c>
      <c r="B38" s="6">
        <v>10</v>
      </c>
      <c r="C38" s="6">
        <v>12</v>
      </c>
      <c r="D38" s="7">
        <v>4.7</v>
      </c>
      <c r="E38" s="7">
        <v>27.86</v>
      </c>
      <c r="F38" s="7">
        <f>E38/C38</f>
      </c>
      <c r="G38" s="7">
        <f>D38+F38</f>
      </c>
      <c r="H38" s="7">
        <f>G38*C38</f>
      </c>
      <c r="I38" s="7">
        <f>H38/(1-$B$2)</f>
      </c>
      <c r="J38" s="7">
        <f>I38/C38</f>
      </c>
      <c r="K38" s="7">
        <f>I38-H38</f>
      </c>
      <c r="L38" s="7">
        <f>K38/C38</f>
      </c>
      <c r="M38" s="8">
        <f>K38/I38</f>
      </c>
      <c r="N38" s="7"/>
      <c r="O38" s="7"/>
      <c r="P38" s="7"/>
      <c r="Q38" s="7"/>
      <c r="R38" s="7"/>
      <c r="S38" s="7"/>
      <c r="T38" s="7"/>
      <c r="U38" s="7">
        <f>G38/(1-$B$2)</f>
      </c>
    </row>
    <row r="39" spans="1:21" x14ac:dyDescent="0.25">
      <c r="A39" t="s">
        <v>35</v>
      </c>
      <c r="B39">
        <v>13</v>
      </c>
      <c r="C39">
        <v>12</v>
      </c>
      <c r="D39" s="9">
        <v>7.69</v>
      </c>
      <c r="E39" s="9">
        <v>27.86</v>
      </c>
      <c r="F39" s="9">
        <f>E39/C39</f>
      </c>
      <c r="G39" s="9">
        <f>D39+F39</f>
      </c>
      <c r="H39" s="9">
        <f>G39*C39</f>
      </c>
      <c r="I39" s="9">
        <f>H39/(1-$B$2)</f>
      </c>
      <c r="J39" s="9">
        <f>I39/C39</f>
      </c>
      <c r="K39" s="9">
        <f>I39-H39</f>
      </c>
      <c r="L39" s="9">
        <f>K39/C39</f>
      </c>
      <c r="M39" s="10">
        <f>K39/I39</f>
      </c>
      <c r="N39" s="9">
        <v>31.99</v>
      </c>
      <c r="O39" s="9">
        <v>11.99</v>
      </c>
      <c r="P39" s="9">
        <v>9.99</v>
      </c>
      <c r="Q39" s="9">
        <v>9.99</v>
      </c>
      <c r="R39" s="9"/>
      <c r="S39" s="9"/>
      <c r="T39" s="9"/>
      <c r="U39" s="9">
        <f>G39/(1-$B$2)</f>
      </c>
    </row>
    <row r="40" spans="1:21" x14ac:dyDescent="0.25">
      <c r="A40" s="6" t="s">
        <v>36</v>
      </c>
      <c r="B40" s="6">
        <v>8</v>
      </c>
      <c r="C40" s="6">
        <v>12</v>
      </c>
      <c r="D40" s="7">
        <v>5.12</v>
      </c>
      <c r="E40" s="7">
        <v>30.38</v>
      </c>
      <c r="F40" s="7">
        <f>E40/C40</f>
      </c>
      <c r="G40" s="7">
        <f>D40+F40</f>
      </c>
      <c r="H40" s="7">
        <f>G40*C40</f>
      </c>
      <c r="I40" s="7">
        <f>H40/(1-$B$2)</f>
      </c>
      <c r="J40" s="7">
        <f>I40/C40</f>
      </c>
      <c r="K40" s="7">
        <f>I40-H40</f>
      </c>
      <c r="L40" s="7">
        <f>K40/C40</f>
      </c>
      <c r="M40" s="8">
        <f>K40/I40</f>
      </c>
      <c r="N40" s="7"/>
      <c r="O40" s="7"/>
      <c r="P40" s="7"/>
      <c r="Q40" s="7"/>
      <c r="R40" s="7"/>
      <c r="S40" s="7"/>
      <c r="T40" s="7"/>
      <c r="U40" s="7">
        <f>G40/(1-$B$2)</f>
      </c>
    </row>
    <row r="41" spans="1:21" x14ac:dyDescent="0.25">
      <c r="A41" t="s">
        <v>36</v>
      </c>
      <c r="B41">
        <v>10</v>
      </c>
      <c r="C41">
        <v>12</v>
      </c>
      <c r="D41" s="9">
        <v>5.63</v>
      </c>
      <c r="E41" s="9">
        <v>30.38</v>
      </c>
      <c r="F41" s="9">
        <f>E41/C41</f>
      </c>
      <c r="G41" s="9">
        <f>D41+F41</f>
      </c>
      <c r="H41" s="9">
        <f>G41*C41</f>
      </c>
      <c r="I41" s="9">
        <f>H41/(1-$B$2)</f>
      </c>
      <c r="J41" s="9">
        <f>I41/C41</f>
      </c>
      <c r="K41" s="9">
        <f>I41-H41</f>
      </c>
      <c r="L41" s="9">
        <f>K41/C41</f>
      </c>
      <c r="M41" s="10">
        <f>K41/I41</f>
      </c>
      <c r="N41" s="9"/>
      <c r="O41" s="9"/>
      <c r="P41" s="9"/>
      <c r="Q41" s="9"/>
      <c r="R41" s="9"/>
      <c r="S41" s="9"/>
      <c r="T41" s="9"/>
      <c r="U41" s="9">
        <f>G41/(1-$B$2)</f>
      </c>
    </row>
    <row r="42" spans="1:21" x14ac:dyDescent="0.25">
      <c r="A42" s="6" t="s">
        <v>36</v>
      </c>
      <c r="B42" s="6">
        <v>13</v>
      </c>
      <c r="C42" s="6">
        <v>12</v>
      </c>
      <c r="D42" s="7">
        <v>9.21</v>
      </c>
      <c r="E42" s="7">
        <v>30.38</v>
      </c>
      <c r="F42" s="7">
        <f>E42/C42</f>
      </c>
      <c r="G42" s="7">
        <f>D42+F42</f>
      </c>
      <c r="H42" s="7">
        <f>G42*C42</f>
      </c>
      <c r="I42" s="7">
        <f>H42/(1-$B$2)</f>
      </c>
      <c r="J42" s="7">
        <f>I42/C42</f>
      </c>
      <c r="K42" s="7">
        <f>I42-H42</f>
      </c>
      <c r="L42" s="7">
        <f>K42/C42</f>
      </c>
      <c r="M42" s="8">
        <f>K42/I42</f>
      </c>
      <c r="N42" s="7"/>
      <c r="O42" s="7"/>
      <c r="P42" s="7"/>
      <c r="Q42" s="7"/>
      <c r="R42" s="7"/>
      <c r="S42" s="7"/>
      <c r="T42" s="7"/>
      <c r="U42" s="7">
        <f>G42/(1-$B$2)</f>
      </c>
    </row>
    <row r="43" spans="1:21" x14ac:dyDescent="0.25">
      <c r="A43" t="s">
        <v>37</v>
      </c>
      <c r="B43">
        <v>8</v>
      </c>
      <c r="C43">
        <v>12</v>
      </c>
      <c r="D43" s="9">
        <v>4.69</v>
      </c>
      <c r="E43" s="9">
        <v>31.06</v>
      </c>
      <c r="F43" s="9">
        <f>E43/C43</f>
      </c>
      <c r="G43" s="9">
        <f>D43+F43</f>
      </c>
      <c r="H43" s="9">
        <f>G43*C43</f>
      </c>
      <c r="I43" s="9">
        <f>H43/(1-$B$2)</f>
      </c>
      <c r="J43" s="9">
        <f>I43/C43</f>
      </c>
      <c r="K43" s="9">
        <f>I43-H43</f>
      </c>
      <c r="L43" s="9">
        <f>K43/C43</f>
      </c>
      <c r="M43" s="10">
        <f>K43/I43</f>
      </c>
      <c r="N43" s="9">
        <v>21.99</v>
      </c>
      <c r="O43" s="9">
        <v>8.49</v>
      </c>
      <c r="P43" s="9">
        <v>6.66</v>
      </c>
      <c r="Q43" s="9">
        <v>6.24</v>
      </c>
      <c r="R43" s="9">
        <v>8.47</v>
      </c>
      <c r="S43" s="9">
        <v>6.32</v>
      </c>
      <c r="T43" s="9">
        <v>5.58</v>
      </c>
      <c r="U43" s="9">
        <f>G43/(1-$B$2)</f>
      </c>
    </row>
    <row r="44" spans="1:21" x14ac:dyDescent="0.25">
      <c r="A44" s="6" t="s">
        <v>37</v>
      </c>
      <c r="B44" s="6">
        <v>10</v>
      </c>
      <c r="C44" s="6">
        <v>12</v>
      </c>
      <c r="D44" s="7">
        <v>5.15</v>
      </c>
      <c r="E44" s="7">
        <v>31.06</v>
      </c>
      <c r="F44" s="7">
        <f>E44/C44</f>
      </c>
      <c r="G44" s="7">
        <f>D44+F44</f>
      </c>
      <c r="H44" s="7">
        <f>G44*C44</f>
      </c>
      <c r="I44" s="7">
        <f>H44/(1-$B$2)</f>
      </c>
      <c r="J44" s="7">
        <f>I44/C44</f>
      </c>
      <c r="K44" s="7">
        <f>I44-H44</f>
      </c>
      <c r="L44" s="7">
        <f>K44/C44</f>
      </c>
      <c r="M44" s="8">
        <f>K44/I44</f>
      </c>
      <c r="N44" s="7">
        <v>24.99</v>
      </c>
      <c r="O44" s="7">
        <v>9.49</v>
      </c>
      <c r="P44" s="7">
        <v>7.49</v>
      </c>
      <c r="Q44" s="7">
        <v>7.49</v>
      </c>
      <c r="R44" s="7"/>
      <c r="S44" s="7"/>
      <c r="T44" s="7"/>
      <c r="U44" s="7">
        <f>G44/(1-$B$2)</f>
      </c>
    </row>
    <row r="45" spans="1:21" x14ac:dyDescent="0.25">
      <c r="A45" t="s">
        <v>37</v>
      </c>
      <c r="B45">
        <v>13</v>
      </c>
      <c r="C45">
        <v>12</v>
      </c>
      <c r="D45" s="9">
        <v>8.44</v>
      </c>
      <c r="E45" s="9">
        <v>31.06</v>
      </c>
      <c r="F45" s="9">
        <f>E45/C45</f>
      </c>
      <c r="G45" s="9">
        <f>D45+F45</f>
      </c>
      <c r="H45" s="9">
        <f>G45*C45</f>
      </c>
      <c r="I45" s="9">
        <f>H45/(1-$B$2)</f>
      </c>
      <c r="J45" s="9">
        <f>I45/C45</f>
      </c>
      <c r="K45" s="9">
        <f>I45-H45</f>
      </c>
      <c r="L45" s="9">
        <f>K45/C45</f>
      </c>
      <c r="M45" s="10">
        <f>K45/I45</f>
      </c>
      <c r="N45" s="9">
        <v>28.99</v>
      </c>
      <c r="O45" s="9">
        <v>11.24</v>
      </c>
      <c r="P45" s="9">
        <v>8.33</v>
      </c>
      <c r="Q45" s="9">
        <v>8.24</v>
      </c>
      <c r="R45" s="9">
        <v>11.21</v>
      </c>
      <c r="S45" s="9">
        <v>8.31</v>
      </c>
      <c r="T45" s="9">
        <v>8.22</v>
      </c>
      <c r="U45" s="9">
        <f>G45/(1-$B$2)</f>
      </c>
    </row>
    <row r="46" spans="1:21" x14ac:dyDescent="0.25">
      <c r="A46" s="6" t="s">
        <v>38</v>
      </c>
      <c r="B46" s="6">
        <v>8</v>
      </c>
      <c r="C46" s="6">
        <v>12</v>
      </c>
      <c r="D46" s="7">
        <v>8.11</v>
      </c>
      <c r="E46" s="7">
        <v>35.38</v>
      </c>
      <c r="F46" s="7">
        <f>E46/C46</f>
      </c>
      <c r="G46" s="7">
        <f>D46+F46</f>
      </c>
      <c r="H46" s="7">
        <f>G46*C46</f>
      </c>
      <c r="I46" s="7">
        <f>H46/(1-$B$2)</f>
      </c>
      <c r="J46" s="7">
        <f>I46/C46</f>
      </c>
      <c r="K46" s="7">
        <f>I46-H46</f>
      </c>
      <c r="L46" s="7">
        <f>K46/C46</f>
      </c>
      <c r="M46" s="8">
        <f>K46/I46</f>
      </c>
      <c r="N46" s="7"/>
      <c r="O46" s="7"/>
      <c r="P46" s="7"/>
      <c r="Q46" s="7"/>
      <c r="R46" s="7"/>
      <c r="S46" s="7"/>
      <c r="T46" s="7"/>
      <c r="U46" s="7">
        <f>G46/(1-$B$2)</f>
      </c>
    </row>
    <row r="47" spans="1:21" x14ac:dyDescent="0.25">
      <c r="A47" t="s">
        <v>38</v>
      </c>
      <c r="B47">
        <v>10</v>
      </c>
      <c r="C47">
        <v>12</v>
      </c>
      <c r="D47" s="9">
        <v>8.92</v>
      </c>
      <c r="E47" s="9">
        <v>35.38</v>
      </c>
      <c r="F47" s="9">
        <f>E47/C47</f>
      </c>
      <c r="G47" s="9">
        <f>D47+F47</f>
      </c>
      <c r="H47" s="9">
        <f>G47*C47</f>
      </c>
      <c r="I47" s="9">
        <f>H47/(1-$B$2)</f>
      </c>
      <c r="J47" s="9">
        <f>I47/C47</f>
      </c>
      <c r="K47" s="9">
        <f>I47-H47</f>
      </c>
      <c r="L47" s="9">
        <f>K47/C47</f>
      </c>
      <c r="M47" s="10">
        <f>K47/I47</f>
      </c>
      <c r="N47" s="9"/>
      <c r="O47" s="9"/>
      <c r="P47" s="9"/>
      <c r="Q47" s="9"/>
      <c r="R47" s="9"/>
      <c r="S47" s="9"/>
      <c r="T47" s="9"/>
      <c r="U47" s="9">
        <f>G47/(1-$B$2)</f>
      </c>
    </row>
    <row r="48" spans="1:21" x14ac:dyDescent="0.25">
      <c r="A48" s="6" t="s">
        <v>38</v>
      </c>
      <c r="B48" s="6">
        <v>13</v>
      </c>
      <c r="C48" s="6">
        <v>12</v>
      </c>
      <c r="D48" s="7">
        <v>14.6</v>
      </c>
      <c r="E48" s="7">
        <v>35.38</v>
      </c>
      <c r="F48" s="7">
        <f>E48/C48</f>
      </c>
      <c r="G48" s="7">
        <f>D48+F48</f>
      </c>
      <c r="H48" s="7">
        <f>G48*C48</f>
      </c>
      <c r="I48" s="7">
        <f>H48/(1-$B$2)</f>
      </c>
      <c r="J48" s="7">
        <f>I48/C48</f>
      </c>
      <c r="K48" s="7">
        <f>I48-H48</f>
      </c>
      <c r="L48" s="7">
        <f>K48/C48</f>
      </c>
      <c r="M48" s="8">
        <f>K48/I48</f>
      </c>
      <c r="N48" s="7"/>
      <c r="O48" s="7"/>
      <c r="P48" s="7"/>
      <c r="Q48" s="7"/>
      <c r="R48" s="7"/>
      <c r="S48" s="7"/>
      <c r="T48" s="7"/>
      <c r="U48" s="7">
        <f>G48/(1-$B$2)</f>
      </c>
    </row>
    <row r="49" spans="1:21" x14ac:dyDescent="0.25">
      <c r="A49" t="s">
        <v>39</v>
      </c>
      <c r="B49">
        <v>8</v>
      </c>
      <c r="C49">
        <v>12</v>
      </c>
      <c r="D49" s="9">
        <v>5.95</v>
      </c>
      <c r="E49" s="9">
        <v>29.34</v>
      </c>
      <c r="F49" s="9">
        <f>E49/C49</f>
      </c>
      <c r="G49" s="9">
        <f>D49+F49</f>
      </c>
      <c r="H49" s="9">
        <f>G49*C49</f>
      </c>
      <c r="I49" s="9">
        <f>H49/(1-$B$2)</f>
      </c>
      <c r="J49" s="9">
        <f>I49/C49</f>
      </c>
      <c r="K49" s="9">
        <f>I49-H49</f>
      </c>
      <c r="L49" s="9">
        <f>K49/C49</f>
      </c>
      <c r="M49" s="10">
        <f>K49/I49</f>
      </c>
      <c r="N49" s="9"/>
      <c r="O49" s="9"/>
      <c r="P49" s="9"/>
      <c r="Q49" s="9"/>
      <c r="R49" s="9"/>
      <c r="S49" s="9"/>
      <c r="T49" s="9"/>
      <c r="U49" s="9">
        <f>G49/(1-$B$2)</f>
      </c>
    </row>
    <row r="50" spans="1:21" x14ac:dyDescent="0.25">
      <c r="A50" s="6" t="s">
        <v>39</v>
      </c>
      <c r="B50" s="6">
        <v>10</v>
      </c>
      <c r="C50" s="6">
        <v>12</v>
      </c>
      <c r="D50" s="7">
        <v>6.54</v>
      </c>
      <c r="E50" s="7">
        <v>29.34</v>
      </c>
      <c r="F50" s="7">
        <f>E50/C50</f>
      </c>
      <c r="G50" s="7">
        <f>D50+F50</f>
      </c>
      <c r="H50" s="7">
        <f>G50*C50</f>
      </c>
      <c r="I50" s="7">
        <f>H50/(1-$B$2)</f>
      </c>
      <c r="J50" s="7">
        <f>I50/C50</f>
      </c>
      <c r="K50" s="7">
        <f>I50-H50</f>
      </c>
      <c r="L50" s="7">
        <f>K50/C50</f>
      </c>
      <c r="M50" s="8">
        <f>K50/I50</f>
      </c>
      <c r="N50" s="7"/>
      <c r="O50" s="7"/>
      <c r="P50" s="7"/>
      <c r="Q50" s="7"/>
      <c r="R50" s="7"/>
      <c r="S50" s="7"/>
      <c r="T50" s="7"/>
      <c r="U50" s="7">
        <f>G50/(1-$B$2)</f>
      </c>
    </row>
    <row r="51" spans="1:21" x14ac:dyDescent="0.25">
      <c r="A51" t="s">
        <v>39</v>
      </c>
      <c r="B51">
        <v>13</v>
      </c>
      <c r="C51">
        <v>12</v>
      </c>
      <c r="D51" s="9">
        <v>10.7</v>
      </c>
      <c r="E51" s="9">
        <v>29.34</v>
      </c>
      <c r="F51" s="9">
        <f>E51/C51</f>
      </c>
      <c r="G51" s="9">
        <f>D51+F51</f>
      </c>
      <c r="H51" s="9">
        <f>G51*C51</f>
      </c>
      <c r="I51" s="9">
        <f>H51/(1-$B$2)</f>
      </c>
      <c r="J51" s="9">
        <f>I51/C51</f>
      </c>
      <c r="K51" s="9">
        <f>I51-H51</f>
      </c>
      <c r="L51" s="9">
        <f>K51/C51</f>
      </c>
      <c r="M51" s="10">
        <f>K51/I51</f>
      </c>
      <c r="N51" s="9"/>
      <c r="O51" s="9"/>
      <c r="P51" s="9"/>
      <c r="Q51" s="9"/>
      <c r="R51" s="9"/>
      <c r="S51" s="9"/>
      <c r="T51" s="9"/>
      <c r="U51" s="9">
        <f>G51/(1-$B$2)</f>
      </c>
    </row>
    <row r="52" spans="1:21" x14ac:dyDescent="0.25">
      <c r="A52" s="6" t="s">
        <v>40</v>
      </c>
      <c r="B52" s="6">
        <v>8</v>
      </c>
      <c r="C52" s="6">
        <v>12</v>
      </c>
      <c r="D52" s="7">
        <v>5.17</v>
      </c>
      <c r="E52" s="7">
        <v>29.34</v>
      </c>
      <c r="F52" s="7">
        <f>E52/C52</f>
      </c>
      <c r="G52" s="7">
        <f>D52+F52</f>
      </c>
      <c r="H52" s="7">
        <f>G52*C52</f>
      </c>
      <c r="I52" s="7">
        <f>H52/(1-$B$2)</f>
      </c>
      <c r="J52" s="7">
        <f>I52/C52</f>
      </c>
      <c r="K52" s="7">
        <f>I52-H52</f>
      </c>
      <c r="L52" s="7">
        <f>K52/C52</f>
      </c>
      <c r="M52" s="8">
        <f>K52/I52</f>
      </c>
      <c r="N52" s="7"/>
      <c r="O52" s="7"/>
      <c r="P52" s="7"/>
      <c r="Q52" s="7"/>
      <c r="R52" s="7"/>
      <c r="S52" s="7"/>
      <c r="T52" s="7"/>
      <c r="U52" s="7">
        <f>G52/(1-$B$2)</f>
      </c>
    </row>
    <row r="53" spans="1:21" x14ac:dyDescent="0.25">
      <c r="A53" t="s">
        <v>40</v>
      </c>
      <c r="B53">
        <v>10</v>
      </c>
      <c r="C53">
        <v>12</v>
      </c>
      <c r="D53" s="9">
        <v>5.68</v>
      </c>
      <c r="E53" s="9">
        <v>29.34</v>
      </c>
      <c r="F53" s="9">
        <f>E53/C53</f>
      </c>
      <c r="G53" s="9">
        <f>D53+F53</f>
      </c>
      <c r="H53" s="9">
        <f>G53*C53</f>
      </c>
      <c r="I53" s="9">
        <f>H53/(1-$B$2)</f>
      </c>
      <c r="J53" s="9">
        <f>I53/C53</f>
      </c>
      <c r="K53" s="9">
        <f>I53-H53</f>
      </c>
      <c r="L53" s="9">
        <f>K53/C53</f>
      </c>
      <c r="M53" s="10">
        <f>K53/I53</f>
      </c>
      <c r="N53" s="9"/>
      <c r="O53" s="9"/>
      <c r="P53" s="9"/>
      <c r="Q53" s="9"/>
      <c r="R53" s="9"/>
      <c r="S53" s="9"/>
      <c r="T53" s="9"/>
      <c r="U53" s="9">
        <f>G53/(1-$B$2)</f>
      </c>
    </row>
    <row r="54" spans="1:21" x14ac:dyDescent="0.25">
      <c r="A54" s="6" t="s">
        <v>40</v>
      </c>
      <c r="B54" s="6">
        <v>13</v>
      </c>
      <c r="C54" s="6">
        <v>12</v>
      </c>
      <c r="D54" s="7">
        <v>9.3</v>
      </c>
      <c r="E54" s="7">
        <v>29.34</v>
      </c>
      <c r="F54" s="7">
        <f>E54/C54</f>
      </c>
      <c r="G54" s="7">
        <f>D54+F54</f>
      </c>
      <c r="H54" s="7">
        <f>G54*C54</f>
      </c>
      <c r="I54" s="7">
        <f>H54/(1-$B$2)</f>
      </c>
      <c r="J54" s="7">
        <f>I54/C54</f>
      </c>
      <c r="K54" s="7">
        <f>I54-H54</f>
      </c>
      <c r="L54" s="7">
        <f>K54/C54</f>
      </c>
      <c r="M54" s="8">
        <f>K54/I54</f>
      </c>
      <c r="N54" s="7"/>
      <c r="O54" s="7"/>
      <c r="P54" s="7"/>
      <c r="Q54" s="7"/>
      <c r="R54" s="7"/>
      <c r="S54" s="7"/>
      <c r="T54" s="7"/>
      <c r="U54" s="7">
        <f>G54/(1-$B$2)</f>
      </c>
    </row>
    <row r="55" spans="1:21" x14ac:dyDescent="0.25">
      <c r="A55" t="s">
        <v>41</v>
      </c>
      <c r="B55">
        <v>8</v>
      </c>
      <c r="C55">
        <v>12</v>
      </c>
      <c r="D55" s="9">
        <v>5.39</v>
      </c>
      <c r="E55" s="9">
        <v>32.92</v>
      </c>
      <c r="F55" s="9">
        <f>E55/C55</f>
      </c>
      <c r="G55" s="9">
        <f>D55+F55</f>
      </c>
      <c r="H55" s="9">
        <f>G55*C55</f>
      </c>
      <c r="I55" s="9">
        <f>H55/(1-$B$2)</f>
      </c>
      <c r="J55" s="9">
        <f>I55/C55</f>
      </c>
      <c r="K55" s="9">
        <f>I55-H55</f>
      </c>
      <c r="L55" s="9">
        <f>K55/C55</f>
      </c>
      <c r="M55" s="10">
        <f>K55/I55</f>
      </c>
      <c r="N55" s="9"/>
      <c r="O55" s="9"/>
      <c r="P55" s="9"/>
      <c r="Q55" s="9"/>
      <c r="R55" s="9"/>
      <c r="S55" s="9"/>
      <c r="T55" s="9"/>
      <c r="U55" s="9">
        <f>G55/(1-$B$2)</f>
      </c>
    </row>
    <row r="56" spans="1:21" x14ac:dyDescent="0.25">
      <c r="A56" s="6" t="s">
        <v>41</v>
      </c>
      <c r="B56" s="6">
        <v>10</v>
      </c>
      <c r="C56" s="6">
        <v>12</v>
      </c>
      <c r="D56" s="7">
        <v>5.93</v>
      </c>
      <c r="E56" s="7">
        <v>32.92</v>
      </c>
      <c r="F56" s="7">
        <f>E56/C56</f>
      </c>
      <c r="G56" s="7">
        <f>D56+F56</f>
      </c>
      <c r="H56" s="7">
        <f>G56*C56</f>
      </c>
      <c r="I56" s="7">
        <f>H56/(1-$B$2)</f>
      </c>
      <c r="J56" s="7">
        <f>I56/C56</f>
      </c>
      <c r="K56" s="7">
        <f>I56-H56</f>
      </c>
      <c r="L56" s="7">
        <f>K56/C56</f>
      </c>
      <c r="M56" s="8">
        <f>K56/I56</f>
      </c>
      <c r="N56" s="7"/>
      <c r="O56" s="7"/>
      <c r="P56" s="7"/>
      <c r="Q56" s="7"/>
      <c r="R56" s="7"/>
      <c r="S56" s="7"/>
      <c r="T56" s="7"/>
      <c r="U56" s="7">
        <f>G56/(1-$B$2)</f>
      </c>
    </row>
    <row r="57" spans="1:21" x14ac:dyDescent="0.25">
      <c r="A57" t="s">
        <v>41</v>
      </c>
      <c r="B57">
        <v>13</v>
      </c>
      <c r="C57">
        <v>12</v>
      </c>
      <c r="D57" s="9">
        <v>9.7</v>
      </c>
      <c r="E57" s="9">
        <v>32.92</v>
      </c>
      <c r="F57" s="9">
        <f>E57/C57</f>
      </c>
      <c r="G57" s="9">
        <f>D57+F57</f>
      </c>
      <c r="H57" s="9">
        <f>G57*C57</f>
      </c>
      <c r="I57" s="9">
        <f>H57/(1-$B$2)</f>
      </c>
      <c r="J57" s="9">
        <f>I57/C57</f>
      </c>
      <c r="K57" s="9">
        <f>I57-H57</f>
      </c>
      <c r="L57" s="9">
        <f>K57/C57</f>
      </c>
      <c r="M57" s="10">
        <f>K57/I57</f>
      </c>
      <c r="N57" s="9"/>
      <c r="O57" s="9"/>
      <c r="P57" s="9"/>
      <c r="Q57" s="9"/>
      <c r="R57" s="9"/>
      <c r="S57" s="9"/>
      <c r="T57" s="9"/>
      <c r="U57" s="9">
        <f>G57/(1-$B$2)</f>
      </c>
    </row>
    <row r="58" spans="1:21" x14ac:dyDescent="0.25">
      <c r="A58" s="6" t="s">
        <v>42</v>
      </c>
      <c r="B58" s="6">
        <v>8</v>
      </c>
      <c r="C58" s="6">
        <v>12</v>
      </c>
      <c r="D58" s="7">
        <v>5.14</v>
      </c>
      <c r="E58" s="7">
        <v>34.17</v>
      </c>
      <c r="F58" s="7">
        <f>E58/C58</f>
      </c>
      <c r="G58" s="7">
        <f>D58+F58</f>
      </c>
      <c r="H58" s="7">
        <f>G58*C58</f>
      </c>
      <c r="I58" s="7">
        <f>H58/(1-$B$2)</f>
      </c>
      <c r="J58" s="7">
        <f>I58/C58</f>
      </c>
      <c r="K58" s="7">
        <f>I58-H58</f>
      </c>
      <c r="L58" s="7">
        <f>K58/C58</f>
      </c>
      <c r="M58" s="8">
        <f>K58/I58</f>
      </c>
      <c r="N58" s="7"/>
      <c r="O58" s="7"/>
      <c r="P58" s="7"/>
      <c r="Q58" s="7"/>
      <c r="R58" s="7"/>
      <c r="S58" s="7"/>
      <c r="T58" s="7"/>
      <c r="U58" s="7">
        <f>G58/(1-$B$2)</f>
      </c>
    </row>
    <row r="59" spans="1:21" x14ac:dyDescent="0.25">
      <c r="A59" t="s">
        <v>42</v>
      </c>
      <c r="B59">
        <v>10</v>
      </c>
      <c r="C59">
        <v>12</v>
      </c>
      <c r="D59" s="9">
        <v>5.66</v>
      </c>
      <c r="E59" s="9">
        <v>34.17</v>
      </c>
      <c r="F59" s="9">
        <f>E59/C59</f>
      </c>
      <c r="G59" s="9">
        <f>D59+F59</f>
      </c>
      <c r="H59" s="9">
        <f>G59*C59</f>
      </c>
      <c r="I59" s="9">
        <f>H59/(1-$B$2)</f>
      </c>
      <c r="J59" s="9">
        <f>I59/C59</f>
      </c>
      <c r="K59" s="9">
        <f>I59-H59</f>
      </c>
      <c r="L59" s="9">
        <f>K59/C59</f>
      </c>
      <c r="M59" s="10">
        <f>K59/I59</f>
      </c>
      <c r="N59" s="9"/>
      <c r="O59" s="9"/>
      <c r="P59" s="9"/>
      <c r="Q59" s="9"/>
      <c r="R59" s="9"/>
      <c r="S59" s="9"/>
      <c r="T59" s="9"/>
      <c r="U59" s="9">
        <f>G59/(1-$B$2)</f>
      </c>
    </row>
    <row r="60" spans="1:21" x14ac:dyDescent="0.25">
      <c r="A60" s="6" t="s">
        <v>42</v>
      </c>
      <c r="B60" s="6">
        <v>13</v>
      </c>
      <c r="C60" s="6">
        <v>12</v>
      </c>
      <c r="D60" s="7">
        <v>9.26</v>
      </c>
      <c r="E60" s="7">
        <v>34.17</v>
      </c>
      <c r="F60" s="7">
        <f>E60/C60</f>
      </c>
      <c r="G60" s="7">
        <f>D60+F60</f>
      </c>
      <c r="H60" s="7">
        <f>G60*C60</f>
      </c>
      <c r="I60" s="7">
        <f>H60/(1-$B$2)</f>
      </c>
      <c r="J60" s="7">
        <f>I60/C60</f>
      </c>
      <c r="K60" s="7">
        <f>I60-H60</f>
      </c>
      <c r="L60" s="7">
        <f>K60/C60</f>
      </c>
      <c r="M60" s="8">
        <f>K60/I60</f>
      </c>
      <c r="N60" s="7"/>
      <c r="O60" s="7"/>
      <c r="P60" s="7"/>
      <c r="Q60" s="7"/>
      <c r="R60" s="7"/>
      <c r="S60" s="7"/>
      <c r="T60" s="7"/>
      <c r="U60" s="7">
        <f>G60/(1-$B$2)</f>
      </c>
    </row>
    <row r="61" spans="1:21" x14ac:dyDescent="0.25">
      <c r="A61" t="s">
        <v>43</v>
      </c>
      <c r="B61">
        <v>8</v>
      </c>
      <c r="C61">
        <v>12</v>
      </c>
      <c r="D61" s="9">
        <v>4.67</v>
      </c>
      <c r="E61" s="9">
        <v>31.06</v>
      </c>
      <c r="F61" s="9">
        <f>E61/C61</f>
      </c>
      <c r="G61" s="9">
        <f>D61+F61</f>
      </c>
      <c r="H61" s="9">
        <f>G61*C61</f>
      </c>
      <c r="I61" s="9">
        <f>H61/(1-$B$2)</f>
      </c>
      <c r="J61" s="9">
        <f>I61/C61</f>
      </c>
      <c r="K61" s="9">
        <f>I61-H61</f>
      </c>
      <c r="L61" s="9">
        <f>K61/C61</f>
      </c>
      <c r="M61" s="10">
        <f>K61/I61</f>
      </c>
      <c r="N61" s="9">
        <v>23.99</v>
      </c>
      <c r="O61" s="9">
        <v>7.49</v>
      </c>
      <c r="P61" s="9">
        <v>6.33</v>
      </c>
      <c r="Q61" s="9">
        <v>6.24</v>
      </c>
      <c r="R61" s="9"/>
      <c r="S61" s="9"/>
      <c r="T61" s="9"/>
      <c r="U61" s="9">
        <f>G61/(1-$B$2)</f>
      </c>
    </row>
    <row r="62" spans="1:21" x14ac:dyDescent="0.25">
      <c r="A62" s="6" t="s">
        <v>43</v>
      </c>
      <c r="B62" s="6">
        <v>10</v>
      </c>
      <c r="C62" s="6">
        <v>12</v>
      </c>
      <c r="D62" s="7">
        <v>5.14</v>
      </c>
      <c r="E62" s="7">
        <v>31.06</v>
      </c>
      <c r="F62" s="7">
        <f>E62/C62</f>
      </c>
      <c r="G62" s="7">
        <f>D62+F62</f>
      </c>
      <c r="H62" s="7">
        <f>G62*C62</f>
      </c>
      <c r="I62" s="7">
        <f>H62/(1-$B$2)</f>
      </c>
      <c r="J62" s="7">
        <f>I62/C62</f>
      </c>
      <c r="K62" s="7">
        <f>I62-H62</f>
      </c>
      <c r="L62" s="7">
        <f>K62/C62</f>
      </c>
      <c r="M62" s="8">
        <f>K62/I62</f>
      </c>
      <c r="N62" s="7"/>
      <c r="O62" s="7"/>
      <c r="P62" s="7"/>
      <c r="Q62" s="7"/>
      <c r="R62" s="7"/>
      <c r="S62" s="7"/>
      <c r="T62" s="7"/>
      <c r="U62" s="7">
        <f>G62/(1-$B$2)</f>
      </c>
    </row>
    <row r="63" spans="1:21" x14ac:dyDescent="0.25">
      <c r="A63" t="s">
        <v>43</v>
      </c>
      <c r="B63">
        <v>13</v>
      </c>
      <c r="C63">
        <v>12</v>
      </c>
      <c r="D63" s="9">
        <v>8.41</v>
      </c>
      <c r="E63" s="9">
        <v>31.06</v>
      </c>
      <c r="F63" s="9">
        <f>E63/C63</f>
      </c>
      <c r="G63" s="9">
        <f>D63+F63</f>
      </c>
      <c r="H63" s="9">
        <f>G63*C63</f>
      </c>
      <c r="I63" s="9">
        <f>H63/(1-$B$2)</f>
      </c>
      <c r="J63" s="9">
        <f>I63/C63</f>
      </c>
      <c r="K63" s="9">
        <f>I63-H63</f>
      </c>
      <c r="L63" s="9">
        <f>K63/C63</f>
      </c>
      <c r="M63" s="10">
        <f>K63/I63</f>
      </c>
      <c r="N63" s="9">
        <v>32.99</v>
      </c>
      <c r="O63" s="9">
        <v>11.49</v>
      </c>
      <c r="P63" s="9">
        <v>9.33</v>
      </c>
      <c r="Q63" s="9">
        <v>8.74</v>
      </c>
      <c r="R63" s="9"/>
      <c r="S63" s="9"/>
      <c r="T63" s="9"/>
      <c r="U63" s="9">
        <f>G63/(1-$B$2)</f>
      </c>
    </row>
    <row r="64" spans="1:21" x14ac:dyDescent="0.25">
      <c r="A64" s="6" t="s">
        <v>44</v>
      </c>
      <c r="B64" s="6">
        <v>8</v>
      </c>
      <c r="C64" s="6">
        <v>12</v>
      </c>
      <c r="D64" s="7">
        <v>5.06</v>
      </c>
      <c r="E64" s="7">
        <v>34.17</v>
      </c>
      <c r="F64" s="7">
        <f>E64/C64</f>
      </c>
      <c r="G64" s="7">
        <f>D64+F64</f>
      </c>
      <c r="H64" s="7">
        <f>G64*C64</f>
      </c>
      <c r="I64" s="7">
        <f>H64/(1-$B$2)</f>
      </c>
      <c r="J64" s="7">
        <f>I64/C64</f>
      </c>
      <c r="K64" s="7">
        <f>I64-H64</f>
      </c>
      <c r="L64" s="7">
        <f>K64/C64</f>
      </c>
      <c r="M64" s="8">
        <f>K64/I64</f>
      </c>
      <c r="N64" s="7"/>
      <c r="O64" s="7"/>
      <c r="P64" s="7"/>
      <c r="Q64" s="7"/>
      <c r="R64" s="7"/>
      <c r="S64" s="7"/>
      <c r="T64" s="7"/>
      <c r="U64" s="7">
        <f>G64/(1-$B$2)</f>
      </c>
    </row>
    <row r="65" spans="1:21" x14ac:dyDescent="0.25">
      <c r="A65" t="s">
        <v>44</v>
      </c>
      <c r="B65">
        <v>10</v>
      </c>
      <c r="C65">
        <v>12</v>
      </c>
      <c r="D65" s="9">
        <v>5.57</v>
      </c>
      <c r="E65" s="9">
        <v>34.17</v>
      </c>
      <c r="F65" s="9">
        <f>E65/C65</f>
      </c>
      <c r="G65" s="9">
        <f>D65+F65</f>
      </c>
      <c r="H65" s="9">
        <f>G65*C65</f>
      </c>
      <c r="I65" s="9">
        <f>H65/(1-$B$2)</f>
      </c>
      <c r="J65" s="9">
        <f>I65/C65</f>
      </c>
      <c r="K65" s="9">
        <f>I65-H65</f>
      </c>
      <c r="L65" s="9">
        <f>K65/C65</f>
      </c>
      <c r="M65" s="10">
        <f>K65/I65</f>
      </c>
      <c r="N65" s="9"/>
      <c r="O65" s="9"/>
      <c r="P65" s="9"/>
      <c r="Q65" s="9"/>
      <c r="R65" s="9"/>
      <c r="S65" s="9"/>
      <c r="T65" s="9"/>
      <c r="U65" s="9">
        <f>G65/(1-$B$2)</f>
      </c>
    </row>
    <row r="66" spans="1:21" x14ac:dyDescent="0.25">
      <c r="A66" s="6" t="s">
        <v>44</v>
      </c>
      <c r="B66" s="6">
        <v>13</v>
      </c>
      <c r="C66" s="6">
        <v>12</v>
      </c>
      <c r="D66" s="7">
        <v>9.12</v>
      </c>
      <c r="E66" s="7">
        <v>34.17</v>
      </c>
      <c r="F66" s="7">
        <f>E66/C66</f>
      </c>
      <c r="G66" s="7">
        <f>D66+F66</f>
      </c>
      <c r="H66" s="7">
        <f>G66*C66</f>
      </c>
      <c r="I66" s="7">
        <f>H66/(1-$B$2)</f>
      </c>
      <c r="J66" s="7">
        <f>I66/C66</f>
      </c>
      <c r="K66" s="7">
        <f>I66-H66</f>
      </c>
      <c r="L66" s="7">
        <f>K66/C66</f>
      </c>
      <c r="M66" s="8">
        <f>K66/I66</f>
      </c>
      <c r="N66" s="7"/>
      <c r="O66" s="7"/>
      <c r="P66" s="7"/>
      <c r="Q66" s="7"/>
      <c r="R66" s="7"/>
      <c r="S66" s="7"/>
      <c r="T66" s="7"/>
      <c r="U66" s="7">
        <f>G66/(1-$B$2)</f>
      </c>
    </row>
    <row r="67" spans="1:21" x14ac:dyDescent="0.25">
      <c r="A67" t="s">
        <v>45</v>
      </c>
      <c r="B67">
        <v>8</v>
      </c>
      <c r="C67">
        <v>12</v>
      </c>
      <c r="D67" s="9">
        <v>5.45</v>
      </c>
      <c r="E67" s="9">
        <v>35.38</v>
      </c>
      <c r="F67" s="9">
        <f>E67/C67</f>
      </c>
      <c r="G67" s="9">
        <f>D67+F67</f>
      </c>
      <c r="H67" s="9">
        <f>G67*C67</f>
      </c>
      <c r="I67" s="9">
        <f>H67/(1-$B$2)</f>
      </c>
      <c r="J67" s="9">
        <f>I67/C67</f>
      </c>
      <c r="K67" s="9">
        <f>I67-H67</f>
      </c>
      <c r="L67" s="9">
        <f>K67/C67</f>
      </c>
      <c r="M67" s="10">
        <f>K67/I67</f>
      </c>
      <c r="N67" s="9"/>
      <c r="O67" s="9"/>
      <c r="P67" s="9"/>
      <c r="Q67" s="9"/>
      <c r="R67" s="9"/>
      <c r="S67" s="9"/>
      <c r="T67" s="9"/>
      <c r="U67" s="9">
        <f>G67/(1-$B$2)</f>
      </c>
    </row>
    <row r="68" spans="1:21" x14ac:dyDescent="0.25">
      <c r="A68" s="6" t="s">
        <v>45</v>
      </c>
      <c r="B68" s="6">
        <v>10</v>
      </c>
      <c r="C68" s="6">
        <v>12</v>
      </c>
      <c r="D68" s="7">
        <v>5.99</v>
      </c>
      <c r="E68" s="7">
        <v>35.38</v>
      </c>
      <c r="F68" s="7">
        <f>E68/C68</f>
      </c>
      <c r="G68" s="7">
        <f>D68+F68</f>
      </c>
      <c r="H68" s="7">
        <f>G68*C68</f>
      </c>
      <c r="I68" s="7">
        <f>H68/(1-$B$2)</f>
      </c>
      <c r="J68" s="7">
        <f>I68/C68</f>
      </c>
      <c r="K68" s="7">
        <f>I68-H68</f>
      </c>
      <c r="L68" s="7">
        <f>K68/C68</f>
      </c>
      <c r="M68" s="8">
        <f>K68/I68</f>
      </c>
      <c r="N68" s="7"/>
      <c r="O68" s="7"/>
      <c r="P68" s="7"/>
      <c r="Q68" s="7"/>
      <c r="R68" s="7"/>
      <c r="S68" s="7"/>
      <c r="T68" s="7"/>
      <c r="U68" s="7">
        <f>G68/(1-$B$2)</f>
      </c>
    </row>
    <row r="69" spans="1:21" x14ac:dyDescent="0.25">
      <c r="A69" t="s">
        <v>45</v>
      </c>
      <c r="B69">
        <v>13</v>
      </c>
      <c r="C69">
        <v>12</v>
      </c>
      <c r="D69" s="9">
        <v>9.8</v>
      </c>
      <c r="E69" s="9">
        <v>35.38</v>
      </c>
      <c r="F69" s="9">
        <f>E69/C69</f>
      </c>
      <c r="G69" s="9">
        <f>D69+F69</f>
      </c>
      <c r="H69" s="9">
        <f>G69*C69</f>
      </c>
      <c r="I69" s="9">
        <f>H69/(1-$B$2)</f>
      </c>
      <c r="J69" s="9">
        <f>I69/C69</f>
      </c>
      <c r="K69" s="9">
        <f>I69-H69</f>
      </c>
      <c r="L69" s="9">
        <f>K69/C69</f>
      </c>
      <c r="M69" s="10">
        <f>K69/I69</f>
      </c>
      <c r="N69" s="9"/>
      <c r="O69" s="9"/>
      <c r="P69" s="9"/>
      <c r="Q69" s="9"/>
      <c r="R69" s="9"/>
      <c r="S69" s="9"/>
      <c r="T69" s="9"/>
      <c r="U69" s="9">
        <f>G69/(1-$B$2)</f>
      </c>
    </row>
    <row r="70" spans="1:21" x14ac:dyDescent="0.25">
      <c r="A70" s="6" t="s">
        <v>46</v>
      </c>
      <c r="B70" s="6">
        <v>8</v>
      </c>
      <c r="C70" s="6">
        <v>12</v>
      </c>
      <c r="D70" s="7">
        <v>5.08</v>
      </c>
      <c r="E70" s="7">
        <v>35.93</v>
      </c>
      <c r="F70" s="7">
        <f>E70/C70</f>
      </c>
      <c r="G70" s="7">
        <f>D70+F70</f>
      </c>
      <c r="H70" s="7">
        <f>G70*C70</f>
      </c>
      <c r="I70" s="7">
        <f>H70/(1-$B$2)</f>
      </c>
      <c r="J70" s="7">
        <f>I70/C70</f>
      </c>
      <c r="K70" s="7">
        <f>I70-H70</f>
      </c>
      <c r="L70" s="7">
        <f>K70/C70</f>
      </c>
      <c r="M70" s="8">
        <f>K70/I70</f>
      </c>
      <c r="N70" s="7">
        <v>27.99</v>
      </c>
      <c r="O70" s="7">
        <v>9.49</v>
      </c>
      <c r="P70" s="7">
        <v>8.33</v>
      </c>
      <c r="Q70" s="7">
        <v>6.66</v>
      </c>
      <c r="R70" s="7">
        <v>9.24</v>
      </c>
      <c r="S70" s="7">
        <v>7.99</v>
      </c>
      <c r="T70" s="7">
        <v>6.58</v>
      </c>
      <c r="U70" s="7">
        <f>G70/(1-$B$2)</f>
      </c>
    </row>
    <row r="71" spans="1:21" x14ac:dyDescent="0.25">
      <c r="A71" t="s">
        <v>46</v>
      </c>
      <c r="B71">
        <v>10</v>
      </c>
      <c r="C71">
        <v>12</v>
      </c>
      <c r="D71" s="9">
        <v>5.59</v>
      </c>
      <c r="E71" s="9">
        <v>35.93</v>
      </c>
      <c r="F71" s="9">
        <f>E71/C71</f>
      </c>
      <c r="G71" s="9">
        <f>D71+F71</f>
      </c>
      <c r="H71" s="9">
        <f>G71*C71</f>
      </c>
      <c r="I71" s="9">
        <f>H71/(1-$B$2)</f>
      </c>
      <c r="J71" s="9">
        <f>I71/C71</f>
      </c>
      <c r="K71" s="9">
        <f>I71-H71</f>
      </c>
      <c r="L71" s="9">
        <f>K71/C71</f>
      </c>
      <c r="M71" s="10">
        <f>K71/I71</f>
      </c>
      <c r="N71" s="9">
        <v>29.99</v>
      </c>
      <c r="O71" s="9">
        <v>11.24</v>
      </c>
      <c r="P71" s="9">
        <v>9.49</v>
      </c>
      <c r="Q71" s="9">
        <v>9.41</v>
      </c>
      <c r="R71" s="9"/>
      <c r="S71" s="9"/>
      <c r="T71" s="9"/>
      <c r="U71" s="9">
        <f>G71/(1-$B$2)</f>
      </c>
    </row>
    <row r="72" spans="1:21" x14ac:dyDescent="0.25">
      <c r="A72" s="6" t="s">
        <v>46</v>
      </c>
      <c r="B72" s="6">
        <v>13</v>
      </c>
      <c r="C72" s="6">
        <v>12</v>
      </c>
      <c r="D72" s="7">
        <v>9.15</v>
      </c>
      <c r="E72" s="7">
        <v>35.93</v>
      </c>
      <c r="F72" s="7">
        <f>E72/C72</f>
      </c>
      <c r="G72" s="7">
        <f>D72+F72</f>
      </c>
      <c r="H72" s="7">
        <f>G72*C72</f>
      </c>
      <c r="I72" s="7">
        <f>H72/(1-$B$2)</f>
      </c>
      <c r="J72" s="7">
        <f>I72/C72</f>
      </c>
      <c r="K72" s="7">
        <f>I72-H72</f>
      </c>
      <c r="L72" s="7">
        <f>K72/C72</f>
      </c>
      <c r="M72" s="8">
        <f>K72/I72</f>
      </c>
      <c r="N72" s="7">
        <v>33.99</v>
      </c>
      <c r="O72" s="7">
        <v>14.99</v>
      </c>
      <c r="P72" s="7">
        <v>11.16</v>
      </c>
      <c r="Q72" s="7">
        <v>11.08</v>
      </c>
      <c r="R72" s="7">
        <v>11.66</v>
      </c>
      <c r="S72" s="7">
        <v>9.09</v>
      </c>
      <c r="T72" s="7">
        <v>9.03</v>
      </c>
      <c r="U72" s="7">
        <f>G72/(1-$B$2)</f>
      </c>
    </row>
    <row r="73" spans="1:21" x14ac:dyDescent="0.25">
      <c r="A73" t="s">
        <v>47</v>
      </c>
      <c r="B73">
        <v>8</v>
      </c>
      <c r="C73">
        <v>12</v>
      </c>
      <c r="D73" s="9">
        <v>5.83</v>
      </c>
      <c r="E73" s="9">
        <v>40.43</v>
      </c>
      <c r="F73" s="9">
        <f>E73/C73</f>
      </c>
      <c r="G73" s="9">
        <f>D73+F73</f>
      </c>
      <c r="H73" s="9">
        <f>G73*C73</f>
      </c>
      <c r="I73" s="9">
        <f>H73/(1-$B$2)</f>
      </c>
      <c r="J73" s="9">
        <f>I73/C73</f>
      </c>
      <c r="K73" s="9">
        <f>I73-H73</f>
      </c>
      <c r="L73" s="9">
        <f>K73/C73</f>
      </c>
      <c r="M73" s="10">
        <f>K73/I73</f>
      </c>
      <c r="N73" s="9"/>
      <c r="O73" s="9"/>
      <c r="P73" s="9"/>
      <c r="Q73" s="9"/>
      <c r="R73" s="9"/>
      <c r="S73" s="9"/>
      <c r="T73" s="9"/>
      <c r="U73" s="9">
        <f>G73/(1-$B$2)</f>
      </c>
    </row>
    <row r="74" spans="1:21" x14ac:dyDescent="0.25">
      <c r="A74" s="6" t="s">
        <v>47</v>
      </c>
      <c r="B74" s="6">
        <v>10</v>
      </c>
      <c r="C74" s="6">
        <v>12</v>
      </c>
      <c r="D74" s="7">
        <v>6.41</v>
      </c>
      <c r="E74" s="7">
        <v>40.43</v>
      </c>
      <c r="F74" s="7">
        <f>E74/C74</f>
      </c>
      <c r="G74" s="7">
        <f>D74+F74</f>
      </c>
      <c r="H74" s="7">
        <f>G74*C74</f>
      </c>
      <c r="I74" s="7">
        <f>H74/(1-$B$2)</f>
      </c>
      <c r="J74" s="7">
        <f>I74/C74</f>
      </c>
      <c r="K74" s="7">
        <f>I74-H74</f>
      </c>
      <c r="L74" s="7">
        <f>K74/C74</f>
      </c>
      <c r="M74" s="8">
        <f>K74/I74</f>
      </c>
      <c r="N74" s="7"/>
      <c r="O74" s="7"/>
      <c r="P74" s="7"/>
      <c r="Q74" s="7"/>
      <c r="R74" s="7"/>
      <c r="S74" s="7"/>
      <c r="T74" s="7"/>
      <c r="U74" s="7">
        <f>G74/(1-$B$2)</f>
      </c>
    </row>
    <row r="75" spans="1:21" x14ac:dyDescent="0.25">
      <c r="A75" t="s">
        <v>47</v>
      </c>
      <c r="B75">
        <v>13</v>
      </c>
      <c r="C75">
        <v>12</v>
      </c>
      <c r="D75" s="9">
        <v>10.49</v>
      </c>
      <c r="E75" s="9">
        <v>40.43</v>
      </c>
      <c r="F75" s="9">
        <f>E75/C75</f>
      </c>
      <c r="G75" s="9">
        <f>D75+F75</f>
      </c>
      <c r="H75" s="9">
        <f>G75*C75</f>
      </c>
      <c r="I75" s="9">
        <f>H75/(1-$B$2)</f>
      </c>
      <c r="J75" s="9">
        <f>I75/C75</f>
      </c>
      <c r="K75" s="9">
        <f>I75-H75</f>
      </c>
      <c r="L75" s="9">
        <f>K75/C75</f>
      </c>
      <c r="M75" s="10">
        <f>K75/I75</f>
      </c>
      <c r="N75" s="9"/>
      <c r="O75" s="9"/>
      <c r="P75" s="9"/>
      <c r="Q75" s="9"/>
      <c r="R75" s="9"/>
      <c r="S75" s="9"/>
      <c r="T75" s="9"/>
      <c r="U75" s="9">
        <f>G75/(1-$B$2)</f>
      </c>
    </row>
    <row r="76" spans="1:21" x14ac:dyDescent="0.25">
      <c r="A76" s="6" t="s">
        <v>48</v>
      </c>
      <c r="B76" s="6">
        <v>8</v>
      </c>
      <c r="C76" s="6">
        <v>12</v>
      </c>
      <c r="D76" s="7">
        <v>6.72</v>
      </c>
      <c r="E76" s="7">
        <v>40.43</v>
      </c>
      <c r="F76" s="7">
        <f>E76/C76</f>
      </c>
      <c r="G76" s="7">
        <f>D76+F76</f>
      </c>
      <c r="H76" s="7">
        <f>G76*C76</f>
      </c>
      <c r="I76" s="7">
        <f>H76/(1-$B$2)</f>
      </c>
      <c r="J76" s="7">
        <f>I76/C76</f>
      </c>
      <c r="K76" s="7">
        <f>I76-H76</f>
      </c>
      <c r="L76" s="7">
        <f>K76/C76</f>
      </c>
      <c r="M76" s="8">
        <f>K76/I76</f>
      </c>
      <c r="N76" s="7"/>
      <c r="O76" s="7"/>
      <c r="P76" s="7"/>
      <c r="Q76" s="7"/>
      <c r="R76" s="7"/>
      <c r="S76" s="7"/>
      <c r="T76" s="7"/>
      <c r="U76" s="7">
        <f>G76/(1-$B$2)</f>
      </c>
    </row>
    <row r="77" spans="1:21" x14ac:dyDescent="0.25">
      <c r="A77" t="s">
        <v>48</v>
      </c>
      <c r="B77">
        <v>10</v>
      </c>
      <c r="C77">
        <v>12</v>
      </c>
      <c r="D77" s="9">
        <v>7.39</v>
      </c>
      <c r="E77" s="9">
        <v>40.43</v>
      </c>
      <c r="F77" s="9">
        <f>E77/C77</f>
      </c>
      <c r="G77" s="9">
        <f>D77+F77</f>
      </c>
      <c r="H77" s="9">
        <f>G77*C77</f>
      </c>
      <c r="I77" s="9">
        <f>H77/(1-$B$2)</f>
      </c>
      <c r="J77" s="9">
        <f>I77/C77</f>
      </c>
      <c r="K77" s="9">
        <f>I77-H77</f>
      </c>
      <c r="L77" s="9">
        <f>K77/C77</f>
      </c>
      <c r="M77" s="10">
        <f>K77/I77</f>
      </c>
      <c r="N77" s="9"/>
      <c r="O77" s="9"/>
      <c r="P77" s="9"/>
      <c r="Q77" s="9"/>
      <c r="R77" s="9"/>
      <c r="S77" s="9"/>
      <c r="T77" s="9"/>
      <c r="U77" s="9">
        <f>G77/(1-$B$2)</f>
      </c>
    </row>
    <row r="78" spans="1:21" x14ac:dyDescent="0.25">
      <c r="A78" s="6" t="s">
        <v>48</v>
      </c>
      <c r="B78" s="6">
        <v>13</v>
      </c>
      <c r="C78" s="6">
        <v>12</v>
      </c>
      <c r="D78" s="7">
        <v>12.1</v>
      </c>
      <c r="E78" s="7">
        <v>40.43</v>
      </c>
      <c r="F78" s="7">
        <f>E78/C78</f>
      </c>
      <c r="G78" s="7">
        <f>D78+F78</f>
      </c>
      <c r="H78" s="7">
        <f>G78*C78</f>
      </c>
      <c r="I78" s="7">
        <f>H78/(1-$B$2)</f>
      </c>
      <c r="J78" s="7">
        <f>I78/C78</f>
      </c>
      <c r="K78" s="7">
        <f>I78-H78</f>
      </c>
      <c r="L78" s="7">
        <f>K78/C78</f>
      </c>
      <c r="M78" s="8">
        <f>K78/I78</f>
      </c>
      <c r="N78" s="7"/>
      <c r="O78" s="7"/>
      <c r="P78" s="7"/>
      <c r="Q78" s="7"/>
      <c r="R78" s="7"/>
      <c r="S78" s="7"/>
      <c r="T78" s="7"/>
      <c r="U78" s="7">
        <f>G78/(1-$B$2)</f>
      </c>
    </row>
    <row r="79" spans="1:21" x14ac:dyDescent="0.25">
      <c r="A79" t="s">
        <v>49</v>
      </c>
      <c r="B79">
        <v>8</v>
      </c>
      <c r="C79">
        <v>12</v>
      </c>
      <c r="D79" s="9">
        <v>7.05</v>
      </c>
      <c r="E79" s="9">
        <v>42</v>
      </c>
      <c r="F79" s="9">
        <f>E79/C79</f>
      </c>
      <c r="G79" s="9">
        <f>D79+F79</f>
      </c>
      <c r="H79" s="9">
        <f>G79*C79</f>
      </c>
      <c r="I79" s="9">
        <f>H79/(1-$B$2)</f>
      </c>
      <c r="J79" s="9">
        <f>I79/C79</f>
      </c>
      <c r="K79" s="9">
        <f>I79-H79</f>
      </c>
      <c r="L79" s="9">
        <f>K79/C79</f>
      </c>
      <c r="M79" s="10">
        <f>K79/I79</f>
      </c>
      <c r="N79" s="9"/>
      <c r="O79" s="9"/>
      <c r="P79" s="9"/>
      <c r="Q79" s="9"/>
      <c r="R79" s="9"/>
      <c r="S79" s="9"/>
      <c r="T79" s="9"/>
      <c r="U79" s="9">
        <f>G79/(1-$B$2)</f>
      </c>
    </row>
    <row r="80" spans="1:21" x14ac:dyDescent="0.25">
      <c r="A80" s="6" t="s">
        <v>49</v>
      </c>
      <c r="B80" s="6">
        <v>10</v>
      </c>
      <c r="C80" s="6">
        <v>12</v>
      </c>
      <c r="D80" s="7">
        <v>7.76</v>
      </c>
      <c r="E80" s="7">
        <v>42</v>
      </c>
      <c r="F80" s="7">
        <f>E80/C80</f>
      </c>
      <c r="G80" s="7">
        <f>D80+F80</f>
      </c>
      <c r="H80" s="7">
        <f>G80*C80</f>
      </c>
      <c r="I80" s="7">
        <f>H80/(1-$B$2)</f>
      </c>
      <c r="J80" s="7">
        <f>I80/C80</f>
      </c>
      <c r="K80" s="7">
        <f>I80-H80</f>
      </c>
      <c r="L80" s="7">
        <f>K80/C80</f>
      </c>
      <c r="M80" s="8">
        <f>K80/I80</f>
      </c>
      <c r="N80" s="7"/>
      <c r="O80" s="7"/>
      <c r="P80" s="7"/>
      <c r="Q80" s="7"/>
      <c r="R80" s="7"/>
      <c r="S80" s="7"/>
      <c r="T80" s="7"/>
      <c r="U80" s="7">
        <f>G80/(1-$B$2)</f>
      </c>
    </row>
    <row r="81" spans="1:21" x14ac:dyDescent="0.25">
      <c r="A81" t="s">
        <v>49</v>
      </c>
      <c r="B81">
        <v>13</v>
      </c>
      <c r="C81">
        <v>12</v>
      </c>
      <c r="D81" s="9">
        <v>12.69</v>
      </c>
      <c r="E81" s="9">
        <v>42</v>
      </c>
      <c r="F81" s="9">
        <f>E81/C81</f>
      </c>
      <c r="G81" s="9">
        <f>D81+F81</f>
      </c>
      <c r="H81" s="9">
        <f>G81*C81</f>
      </c>
      <c r="I81" s="9">
        <f>H81/(1-$B$2)</f>
      </c>
      <c r="J81" s="9">
        <f>I81/C81</f>
      </c>
      <c r="K81" s="9">
        <f>I81-H81</f>
      </c>
      <c r="L81" s="9">
        <f>K81/C81</f>
      </c>
      <c r="M81" s="10">
        <f>K81/I81</f>
      </c>
      <c r="N81" s="9"/>
      <c r="O81" s="9"/>
      <c r="P81" s="9"/>
      <c r="Q81" s="9"/>
      <c r="R81" s="9"/>
      <c r="S81" s="9"/>
      <c r="T81" s="9"/>
      <c r="U81" s="9">
        <f>G81/(1-$B$2)</f>
      </c>
    </row>
    <row r="82" spans="1:21" x14ac:dyDescent="0.25">
      <c r="A82" s="6" t="s">
        <v>50</v>
      </c>
      <c r="B82" s="6">
        <v>8</v>
      </c>
      <c r="C82" s="6">
        <v>12</v>
      </c>
      <c r="D82" s="7">
        <v>4.64</v>
      </c>
      <c r="E82" s="7">
        <v>39.57</v>
      </c>
      <c r="F82" s="7">
        <f>E82/C82</f>
      </c>
      <c r="G82" s="7">
        <f>D82+F82</f>
      </c>
      <c r="H82" s="7">
        <f>G82*C82</f>
      </c>
      <c r="I82" s="7">
        <f>H82/(1-$B$2)</f>
      </c>
      <c r="J82" s="7">
        <f>I82/C82</f>
      </c>
      <c r="K82" s="7">
        <f>I82-H82</f>
      </c>
      <c r="L82" s="7">
        <f>K82/C82</f>
      </c>
      <c r="M82" s="8">
        <f>K82/I82</f>
      </c>
      <c r="N82" s="7">
        <v>25.76</v>
      </c>
      <c r="O82" s="7">
        <v>11.45</v>
      </c>
      <c r="P82" s="7">
        <v>9.43</v>
      </c>
      <c r="Q82" s="7">
        <v>8.33</v>
      </c>
      <c r="R82" s="7"/>
      <c r="S82" s="7"/>
      <c r="T82" s="7"/>
      <c r="U82" s="7">
        <f>G82/(1-$B$2)</f>
      </c>
    </row>
    <row r="83" spans="1:21" x14ac:dyDescent="0.25">
      <c r="A83" t="s">
        <v>50</v>
      </c>
      <c r="B83">
        <v>10</v>
      </c>
      <c r="C83">
        <v>12</v>
      </c>
      <c r="D83" s="9">
        <v>5.1</v>
      </c>
      <c r="E83" s="9">
        <v>39.57</v>
      </c>
      <c r="F83" s="9">
        <f>E83/C83</f>
      </c>
      <c r="G83" s="9">
        <f>D83+F83</f>
      </c>
      <c r="H83" s="9">
        <f>G83*C83</f>
      </c>
      <c r="I83" s="9">
        <f>H83/(1-$B$2)</f>
      </c>
      <c r="J83" s="9">
        <f>I83/C83</f>
      </c>
      <c r="K83" s="9">
        <f>I83-H83</f>
      </c>
      <c r="L83" s="9">
        <f>K83/C83</f>
      </c>
      <c r="M83" s="10">
        <f>K83/I83</f>
      </c>
      <c r="N83" s="9"/>
      <c r="O83" s="9"/>
      <c r="P83" s="9"/>
      <c r="Q83" s="9"/>
      <c r="R83" s="9"/>
      <c r="S83" s="9"/>
      <c r="T83" s="9"/>
      <c r="U83" s="9">
        <f>G83/(1-$B$2)</f>
      </c>
    </row>
    <row r="84" spans="1:21" x14ac:dyDescent="0.25">
      <c r="A84" s="6" t="s">
        <v>50</v>
      </c>
      <c r="B84" s="6">
        <v>13</v>
      </c>
      <c r="C84" s="6">
        <v>12</v>
      </c>
      <c r="D84" s="7">
        <v>9.81</v>
      </c>
      <c r="E84" s="7">
        <v>39.57</v>
      </c>
      <c r="F84" s="7">
        <f>E84/C84</f>
      </c>
      <c r="G84" s="7">
        <f>D84+F84</f>
      </c>
      <c r="H84" s="7">
        <f>G84*C84</f>
      </c>
      <c r="I84" s="7">
        <f>H84/(1-$B$2)</f>
      </c>
      <c r="J84" s="7">
        <f>I84/C84</f>
      </c>
      <c r="K84" s="7">
        <f>I84-H84</f>
      </c>
      <c r="L84" s="7">
        <f>K84/C84</f>
      </c>
      <c r="M84" s="8">
        <f>K84/I84</f>
      </c>
      <c r="N84" s="7">
        <v>36.43</v>
      </c>
      <c r="O84" s="7">
        <v>17.08</v>
      </c>
      <c r="P84" s="7">
        <v>15.05</v>
      </c>
      <c r="Q84" s="7">
        <v>14.76</v>
      </c>
      <c r="R84" s="7"/>
      <c r="S84" s="7"/>
      <c r="T84" s="7"/>
      <c r="U84" s="7">
        <f>G84/(1-$B$2)</f>
      </c>
    </row>
    <row r="85" spans="1:21" x14ac:dyDescent="0.25">
      <c r="A85" t="s">
        <v>51</v>
      </c>
      <c r="B85">
        <v>8</v>
      </c>
      <c r="C85">
        <v>12</v>
      </c>
      <c r="D85" s="9">
        <v>4.87</v>
      </c>
      <c r="E85" s="9">
        <v>38.27</v>
      </c>
      <c r="F85" s="9">
        <f>E85/C85</f>
      </c>
      <c r="G85" s="9">
        <f>D85+F85</f>
      </c>
      <c r="H85" s="9">
        <f>G85*C85</f>
      </c>
      <c r="I85" s="9">
        <f>H85/(1-$B$2)</f>
      </c>
      <c r="J85" s="9">
        <f>I85/C85</f>
      </c>
      <c r="K85" s="9">
        <f>I85-H85</f>
      </c>
      <c r="L85" s="9">
        <f>K85/C85</f>
      </c>
      <c r="M85" s="10">
        <f>K85/I85</f>
      </c>
      <c r="N85" s="9"/>
      <c r="O85" s="9"/>
      <c r="P85" s="9"/>
      <c r="Q85" s="9"/>
      <c r="R85" s="9"/>
      <c r="S85" s="9"/>
      <c r="T85" s="9"/>
      <c r="U85" s="9">
        <f>G85/(1-$B$2)</f>
      </c>
    </row>
    <row r="86" spans="1:21" x14ac:dyDescent="0.25">
      <c r="A86" s="6" t="s">
        <v>51</v>
      </c>
      <c r="B86" s="6">
        <v>10</v>
      </c>
      <c r="C86" s="6">
        <v>12</v>
      </c>
      <c r="D86" s="7">
        <v>5.36</v>
      </c>
      <c r="E86" s="7">
        <v>38.27</v>
      </c>
      <c r="F86" s="7">
        <f>E86/C86</f>
      </c>
      <c r="G86" s="7">
        <f>D86+F86</f>
      </c>
      <c r="H86" s="7">
        <f>G86*C86</f>
      </c>
      <c r="I86" s="7">
        <f>H86/(1-$B$2)</f>
      </c>
      <c r="J86" s="7">
        <f>I86/C86</f>
      </c>
      <c r="K86" s="7">
        <f>I86-H86</f>
      </c>
      <c r="L86" s="7">
        <f>K86/C86</f>
      </c>
      <c r="M86" s="8">
        <f>K86/I86</f>
      </c>
      <c r="N86" s="7"/>
      <c r="O86" s="7"/>
      <c r="P86" s="7"/>
      <c r="Q86" s="7"/>
      <c r="R86" s="7"/>
      <c r="S86" s="7"/>
      <c r="T86" s="7"/>
      <c r="U86" s="7">
        <f>G86/(1-$B$2)</f>
      </c>
    </row>
    <row r="87" spans="1:21" x14ac:dyDescent="0.25">
      <c r="A87" t="s">
        <v>51</v>
      </c>
      <c r="B87">
        <v>13</v>
      </c>
      <c r="C87">
        <v>12</v>
      </c>
      <c r="D87" s="9">
        <v>10.04</v>
      </c>
      <c r="E87" s="9">
        <v>38.27</v>
      </c>
      <c r="F87" s="9">
        <f>E87/C87</f>
      </c>
      <c r="G87" s="9">
        <f>D87+F87</f>
      </c>
      <c r="H87" s="9">
        <f>G87*C87</f>
      </c>
      <c r="I87" s="9">
        <f>H87/(1-$B$2)</f>
      </c>
      <c r="J87" s="9">
        <f>I87/C87</f>
      </c>
      <c r="K87" s="9">
        <f>I87-H87</f>
      </c>
      <c r="L87" s="9">
        <f>K87/C87</f>
      </c>
      <c r="M87" s="10">
        <f>K87/I87</f>
      </c>
      <c r="N87" s="9"/>
      <c r="O87" s="9"/>
      <c r="P87" s="9"/>
      <c r="Q87" s="9"/>
      <c r="R87" s="9"/>
      <c r="S87" s="9"/>
      <c r="T87" s="9"/>
      <c r="U87" s="9">
        <f>G87/(1-$B$2)</f>
      </c>
    </row>
    <row r="88" spans="1:21" x14ac:dyDescent="0.25">
      <c r="A88" s="6" t="s">
        <v>52</v>
      </c>
      <c r="B88" s="6">
        <v>8</v>
      </c>
      <c r="C88" s="6">
        <v>12</v>
      </c>
      <c r="D88" s="7">
        <v>4.91</v>
      </c>
      <c r="E88" s="7">
        <v>40.43</v>
      </c>
      <c r="F88" s="7">
        <f>E88/C88</f>
      </c>
      <c r="G88" s="7">
        <f>D88+F88</f>
      </c>
      <c r="H88" s="7">
        <f>G88*C88</f>
      </c>
      <c r="I88" s="7">
        <f>H88/(1-$B$2)</f>
      </c>
      <c r="J88" s="7">
        <f>I88/C88</f>
      </c>
      <c r="K88" s="7">
        <f>I88-H88</f>
      </c>
      <c r="L88" s="7">
        <f>K88/C88</f>
      </c>
      <c r="M88" s="8">
        <f>K88/I88</f>
      </c>
      <c r="N88" s="7"/>
      <c r="O88" s="7"/>
      <c r="P88" s="7"/>
      <c r="Q88" s="7"/>
      <c r="R88" s="7"/>
      <c r="S88" s="7"/>
      <c r="T88" s="7"/>
      <c r="U88" s="7">
        <f>G88/(1-$B$2)</f>
      </c>
    </row>
    <row r="89" spans="1:21" x14ac:dyDescent="0.25">
      <c r="A89" t="s">
        <v>52</v>
      </c>
      <c r="B89">
        <v>10</v>
      </c>
      <c r="C89">
        <v>12</v>
      </c>
      <c r="D89" s="9">
        <v>5.4</v>
      </c>
      <c r="E89" s="9">
        <v>40.43</v>
      </c>
      <c r="F89" s="9">
        <f>E89/C89</f>
      </c>
      <c r="G89" s="9">
        <f>D89+F89</f>
      </c>
      <c r="H89" s="9">
        <f>G89*C89</f>
      </c>
      <c r="I89" s="9">
        <f>H89/(1-$B$2)</f>
      </c>
      <c r="J89" s="9">
        <f>I89/C89</f>
      </c>
      <c r="K89" s="9">
        <f>I89-H89</f>
      </c>
      <c r="L89" s="9">
        <f>K89/C89</f>
      </c>
      <c r="M89" s="10">
        <f>K89/I89</f>
      </c>
      <c r="N89" s="9"/>
      <c r="O89" s="9"/>
      <c r="P89" s="9"/>
      <c r="Q89" s="9"/>
      <c r="R89" s="9"/>
      <c r="S89" s="9"/>
      <c r="T89" s="9"/>
      <c r="U89" s="9">
        <f>G89/(1-$B$2)</f>
      </c>
    </row>
    <row r="90" spans="1:21" x14ac:dyDescent="0.25">
      <c r="A90" s="6" t="s">
        <v>52</v>
      </c>
      <c r="B90" s="6">
        <v>13</v>
      </c>
      <c r="C90" s="6">
        <v>12</v>
      </c>
      <c r="D90" s="7">
        <v>10.31</v>
      </c>
      <c r="E90" s="7">
        <v>40.43</v>
      </c>
      <c r="F90" s="7">
        <f>E90/C90</f>
      </c>
      <c r="G90" s="7">
        <f>D90+F90</f>
      </c>
      <c r="H90" s="7">
        <f>G90*C90</f>
      </c>
      <c r="I90" s="7">
        <f>H90/(1-$B$2)</f>
      </c>
      <c r="J90" s="7">
        <f>I90/C90</f>
      </c>
      <c r="K90" s="7">
        <f>I90-H90</f>
      </c>
      <c r="L90" s="7">
        <f>K90/C90</f>
      </c>
      <c r="M90" s="8">
        <f>K90/I90</f>
      </c>
      <c r="N90" s="7"/>
      <c r="O90" s="7"/>
      <c r="P90" s="7"/>
      <c r="Q90" s="7"/>
      <c r="R90" s="7"/>
      <c r="S90" s="7"/>
      <c r="T90" s="7"/>
      <c r="U90" s="7">
        <f>G90/(1-$B$2)</f>
      </c>
    </row>
    <row r="91" spans="1:21" x14ac:dyDescent="0.25">
      <c r="A91" t="s">
        <v>53</v>
      </c>
      <c r="B91">
        <v>8</v>
      </c>
      <c r="C91">
        <v>12</v>
      </c>
      <c r="D91" s="9">
        <v>4.6</v>
      </c>
      <c r="E91" s="9">
        <v>42</v>
      </c>
      <c r="F91" s="9">
        <f>E91/C91</f>
      </c>
      <c r="G91" s="9">
        <f>D91+F91</f>
      </c>
      <c r="H91" s="9">
        <f>G91*C91</f>
      </c>
      <c r="I91" s="9">
        <f>H91/(1-$B$2)</f>
      </c>
      <c r="J91" s="9">
        <f>I91/C91</f>
      </c>
      <c r="K91" s="9">
        <f>I91-H91</f>
      </c>
      <c r="L91" s="9">
        <f>K91/C91</f>
      </c>
      <c r="M91" s="10">
        <f>K91/I91</f>
      </c>
      <c r="N91" s="9"/>
      <c r="O91" s="9"/>
      <c r="P91" s="9"/>
      <c r="Q91" s="9"/>
      <c r="R91" s="9"/>
      <c r="S91" s="9"/>
      <c r="T91" s="9"/>
      <c r="U91" s="9">
        <f>G91/(1-$B$2)</f>
      </c>
    </row>
    <row r="92" spans="1:21" x14ac:dyDescent="0.25">
      <c r="A92" s="6" t="s">
        <v>53</v>
      </c>
      <c r="B92" s="6">
        <v>10</v>
      </c>
      <c r="C92" s="6">
        <v>12</v>
      </c>
      <c r="D92" s="7">
        <v>5.05</v>
      </c>
      <c r="E92" s="7">
        <v>42</v>
      </c>
      <c r="F92" s="7">
        <f>E92/C92</f>
      </c>
      <c r="G92" s="7">
        <f>D92+F92</f>
      </c>
      <c r="H92" s="7">
        <f>G92*C92</f>
      </c>
      <c r="I92" s="7">
        <f>H92/(1-$B$2)</f>
      </c>
      <c r="J92" s="7">
        <f>I92/C92</f>
      </c>
      <c r="K92" s="7">
        <f>I92-H92</f>
      </c>
      <c r="L92" s="7">
        <f>K92/C92</f>
      </c>
      <c r="M92" s="8">
        <f>K92/I92</f>
      </c>
      <c r="N92" s="7"/>
      <c r="O92" s="7"/>
      <c r="P92" s="7"/>
      <c r="Q92" s="7"/>
      <c r="R92" s="7"/>
      <c r="S92" s="7"/>
      <c r="T92" s="7"/>
      <c r="U92" s="7">
        <f>G92/(1-$B$2)</f>
      </c>
    </row>
    <row r="93" spans="1:21" x14ac:dyDescent="0.25">
      <c r="A93" t="s">
        <v>53</v>
      </c>
      <c r="B93">
        <v>13</v>
      </c>
      <c r="C93">
        <v>12</v>
      </c>
      <c r="D93" s="9">
        <v>10.07</v>
      </c>
      <c r="E93" s="9">
        <v>42</v>
      </c>
      <c r="F93" s="9">
        <f>E93/C93</f>
      </c>
      <c r="G93" s="9">
        <f>D93+F93</f>
      </c>
      <c r="H93" s="9">
        <f>G93*C93</f>
      </c>
      <c r="I93" s="9">
        <f>H93/(1-$B$2)</f>
      </c>
      <c r="J93" s="9">
        <f>I93/C93</f>
      </c>
      <c r="K93" s="9">
        <f>I93-H93</f>
      </c>
      <c r="L93" s="9">
        <f>K93/C93</f>
      </c>
      <c r="M93" s="10">
        <f>K93/I93</f>
      </c>
      <c r="N93" s="9"/>
      <c r="O93" s="9"/>
      <c r="P93" s="9"/>
      <c r="Q93" s="9"/>
      <c r="R93" s="9"/>
      <c r="S93" s="9"/>
      <c r="T93" s="9"/>
      <c r="U93" s="9">
        <f>G93/(1-$B$2)</f>
      </c>
    </row>
    <row r="94" spans="1:21" x14ac:dyDescent="0.25">
      <c r="A94" s="6" t="s">
        <v>54</v>
      </c>
      <c r="B94" s="6">
        <v>8</v>
      </c>
      <c r="C94" s="6">
        <v>12</v>
      </c>
      <c r="D94" s="7">
        <v>5.15</v>
      </c>
      <c r="E94" s="7">
        <v>47.96</v>
      </c>
      <c r="F94" s="7">
        <f>E94/C94</f>
      </c>
      <c r="G94" s="7">
        <f>D94+F94</f>
      </c>
      <c r="H94" s="7">
        <f>G94*C94</f>
      </c>
      <c r="I94" s="7">
        <f>H94/(1-$B$2)</f>
      </c>
      <c r="J94" s="7">
        <f>I94/C94</f>
      </c>
      <c r="K94" s="7">
        <f>I94-H94</f>
      </c>
      <c r="L94" s="7">
        <f>K94/C94</f>
      </c>
      <c r="M94" s="8">
        <f>K94/I94</f>
      </c>
      <c r="N94" s="7"/>
      <c r="O94" s="7"/>
      <c r="P94" s="7"/>
      <c r="Q94" s="7"/>
      <c r="R94" s="7"/>
      <c r="S94" s="7"/>
      <c r="T94" s="7"/>
      <c r="U94" s="7">
        <f>G94/(1-$B$2)</f>
      </c>
    </row>
    <row r="95" spans="1:21" x14ac:dyDescent="0.25">
      <c r="A95" t="s">
        <v>54</v>
      </c>
      <c r="B95">
        <v>10</v>
      </c>
      <c r="C95">
        <v>12</v>
      </c>
      <c r="D95" s="9">
        <v>5.66</v>
      </c>
      <c r="E95" s="9">
        <v>47.96</v>
      </c>
      <c r="F95" s="9">
        <f>E95/C95</f>
      </c>
      <c r="G95" s="9">
        <f>D95+F95</f>
      </c>
      <c r="H95" s="9">
        <f>G95*C95</f>
      </c>
      <c r="I95" s="9">
        <f>H95/(1-$B$2)</f>
      </c>
      <c r="J95" s="9">
        <f>I95/C95</f>
      </c>
      <c r="K95" s="9">
        <f>I95-H95</f>
      </c>
      <c r="L95" s="9">
        <f>K95/C95</f>
      </c>
      <c r="M95" s="10">
        <f>K95/I95</f>
      </c>
      <c r="N95" s="9"/>
      <c r="O95" s="9"/>
      <c r="P95" s="9"/>
      <c r="Q95" s="9"/>
      <c r="R95" s="9"/>
      <c r="S95" s="9"/>
      <c r="T95" s="9"/>
      <c r="U95" s="9">
        <f>G95/(1-$B$2)</f>
      </c>
    </row>
    <row r="96" spans="1:21" x14ac:dyDescent="0.25">
      <c r="A96" s="6" t="s">
        <v>54</v>
      </c>
      <c r="B96" s="6">
        <v>13</v>
      </c>
      <c r="C96" s="6">
        <v>12</v>
      </c>
      <c r="D96" s="7">
        <v>11.56</v>
      </c>
      <c r="E96" s="7">
        <v>47.96</v>
      </c>
      <c r="F96" s="7">
        <f>E96/C96</f>
      </c>
      <c r="G96" s="7">
        <f>D96+F96</f>
      </c>
      <c r="H96" s="7">
        <f>G96*C96</f>
      </c>
      <c r="I96" s="7">
        <f>H96/(1-$B$2)</f>
      </c>
      <c r="J96" s="7">
        <f>I96/C96</f>
      </c>
      <c r="K96" s="7">
        <f>I96-H96</f>
      </c>
      <c r="L96" s="7">
        <f>K96/C96</f>
      </c>
      <c r="M96" s="8">
        <f>K96/I96</f>
      </c>
      <c r="N96" s="7"/>
      <c r="O96" s="7"/>
      <c r="P96" s="7"/>
      <c r="Q96" s="7"/>
      <c r="R96" s="7"/>
      <c r="S96" s="7"/>
      <c r="T96" s="7"/>
      <c r="U96" s="7">
        <f>G96/(1-$B$2)</f>
      </c>
    </row>
    <row r="97" spans="1:21" x14ac:dyDescent="0.25">
      <c r="A97" t="s">
        <v>55</v>
      </c>
      <c r="B97">
        <v>8</v>
      </c>
      <c r="C97">
        <v>12</v>
      </c>
      <c r="D97" s="9">
        <v>5.06</v>
      </c>
      <c r="E97" s="9">
        <v>48.62</v>
      </c>
      <c r="F97" s="9">
        <f>E97/C97</f>
      </c>
      <c r="G97" s="9">
        <f>D97+F97</f>
      </c>
      <c r="H97" s="9">
        <f>G97*C97</f>
      </c>
      <c r="I97" s="9">
        <f>H97/(1-$B$2)</f>
      </c>
      <c r="J97" s="9">
        <f>I97/C97</f>
      </c>
      <c r="K97" s="9">
        <f>I97-H97</f>
      </c>
      <c r="L97" s="9">
        <f>K97/C97</f>
      </c>
      <c r="M97" s="10">
        <f>K97/I97</f>
      </c>
      <c r="N97" s="9">
        <v>30.99</v>
      </c>
      <c r="O97" s="9">
        <v>11.99</v>
      </c>
      <c r="P97" s="9">
        <v>9.99</v>
      </c>
      <c r="Q97" s="9">
        <v>8.33</v>
      </c>
      <c r="R97" s="9"/>
      <c r="S97" s="9"/>
      <c r="T97" s="9"/>
      <c r="U97" s="9">
        <f>G97/(1-$B$2)</f>
      </c>
    </row>
    <row r="98" spans="1:21" x14ac:dyDescent="0.25">
      <c r="A98" s="6" t="s">
        <v>55</v>
      </c>
      <c r="B98" s="6">
        <v>10</v>
      </c>
      <c r="C98" s="6">
        <v>12</v>
      </c>
      <c r="D98" s="7">
        <v>5.56</v>
      </c>
      <c r="E98" s="7">
        <v>48.62</v>
      </c>
      <c r="F98" s="7">
        <f>E98/C98</f>
      </c>
      <c r="G98" s="7">
        <f>D98+F98</f>
      </c>
      <c r="H98" s="7">
        <f>G98*C98</f>
      </c>
      <c r="I98" s="7">
        <f>H98/(1-$B$2)</f>
      </c>
      <c r="J98" s="7">
        <f>I98/C98</f>
      </c>
      <c r="K98" s="7">
        <f>I98-H98</f>
      </c>
      <c r="L98" s="7">
        <f>K98/C98</f>
      </c>
      <c r="M98" s="8">
        <f>K98/I98</f>
      </c>
      <c r="N98" s="7"/>
      <c r="O98" s="7"/>
      <c r="P98" s="7"/>
      <c r="Q98" s="7"/>
      <c r="R98" s="7"/>
      <c r="S98" s="7"/>
      <c r="T98" s="7"/>
      <c r="U98" s="7">
        <f>G98/(1-$B$2)</f>
      </c>
    </row>
    <row r="99" spans="1:21" x14ac:dyDescent="0.25">
      <c r="A99" t="s">
        <v>55</v>
      </c>
      <c r="B99">
        <v>13</v>
      </c>
      <c r="C99">
        <v>12</v>
      </c>
      <c r="D99" s="9">
        <v>11.6</v>
      </c>
      <c r="E99" s="9">
        <v>48.62</v>
      </c>
      <c r="F99" s="9">
        <f>E99/C99</f>
      </c>
      <c r="G99" s="9">
        <f>D99+F99</f>
      </c>
      <c r="H99" s="9">
        <f>G99*C99</f>
      </c>
      <c r="I99" s="9">
        <f>H99/(1-$B$2)</f>
      </c>
      <c r="J99" s="9">
        <f>I99/C99</f>
      </c>
      <c r="K99" s="9">
        <f>I99-H99</f>
      </c>
      <c r="L99" s="9">
        <f>K99/C99</f>
      </c>
      <c r="M99" s="10">
        <f>K99/I99</f>
      </c>
      <c r="N99" s="9">
        <v>40.99</v>
      </c>
      <c r="O99" s="9">
        <v>17.49</v>
      </c>
      <c r="P99" s="9">
        <v>16.66</v>
      </c>
      <c r="Q99" s="9">
        <v>14.99</v>
      </c>
      <c r="R99" s="9"/>
      <c r="S99" s="9"/>
      <c r="T99" s="9"/>
      <c r="U99" s="9">
        <f>G99/(1-$B$2)</f>
      </c>
    </row>
    <row r="100" spans="1:21" x14ac:dyDescent="0.25">
      <c r="A100" s="6" t="s">
        <v>56</v>
      </c>
      <c r="B100" s="6">
        <v>8</v>
      </c>
      <c r="C100" s="6">
        <v>12</v>
      </c>
      <c r="D100" s="7">
        <v>5.62</v>
      </c>
      <c r="E100" s="7">
        <v>45.81</v>
      </c>
      <c r="F100" s="7">
        <f>E100/C100</f>
      </c>
      <c r="G100" s="7">
        <f>D100+F100</f>
      </c>
      <c r="H100" s="7">
        <f>G100*C100</f>
      </c>
      <c r="I100" s="7">
        <f>H100/(1-$B$2)</f>
      </c>
      <c r="J100" s="7">
        <f>I100/C100</f>
      </c>
      <c r="K100" s="7">
        <f>I100-H100</f>
      </c>
      <c r="L100" s="7">
        <f>K100/C100</f>
      </c>
      <c r="M100" s="8">
        <f>K100/I100</f>
      </c>
      <c r="N100" s="7"/>
      <c r="O100" s="7"/>
      <c r="P100" s="7"/>
      <c r="Q100" s="7"/>
      <c r="R100" s="7"/>
      <c r="S100" s="7"/>
      <c r="T100" s="7"/>
      <c r="U100" s="7">
        <f>G100/(1-$B$2)</f>
      </c>
    </row>
    <row r="101" spans="1:21" x14ac:dyDescent="0.25">
      <c r="A101" t="s">
        <v>56</v>
      </c>
      <c r="B101">
        <v>10</v>
      </c>
      <c r="C101">
        <v>12</v>
      </c>
      <c r="D101" s="9">
        <v>6.18</v>
      </c>
      <c r="E101" s="9">
        <v>45.81</v>
      </c>
      <c r="F101" s="9">
        <f>E101/C101</f>
      </c>
      <c r="G101" s="9">
        <f>D101+F101</f>
      </c>
      <c r="H101" s="9">
        <f>G101*C101</f>
      </c>
      <c r="I101" s="9">
        <f>H101/(1-$B$2)</f>
      </c>
      <c r="J101" s="9">
        <f>I101/C101</f>
      </c>
      <c r="K101" s="9">
        <f>I101-H101</f>
      </c>
      <c r="L101" s="9">
        <f>K101/C101</f>
      </c>
      <c r="M101" s="10">
        <f>K101/I101</f>
      </c>
      <c r="N101" s="9"/>
      <c r="O101" s="9"/>
      <c r="P101" s="9"/>
      <c r="Q101" s="9"/>
      <c r="R101" s="9"/>
      <c r="S101" s="9"/>
      <c r="T101" s="9"/>
      <c r="U101" s="9">
        <f>G101/(1-$B$2)</f>
      </c>
    </row>
    <row r="102" spans="1:21" x14ac:dyDescent="0.25">
      <c r="A102" s="6" t="s">
        <v>56</v>
      </c>
      <c r="B102" s="6">
        <v>13</v>
      </c>
      <c r="C102" s="6">
        <v>12</v>
      </c>
      <c r="D102" s="7">
        <v>11.97</v>
      </c>
      <c r="E102" s="7">
        <v>45.81</v>
      </c>
      <c r="F102" s="7">
        <f>E102/C102</f>
      </c>
      <c r="G102" s="7">
        <f>D102+F102</f>
      </c>
      <c r="H102" s="7">
        <f>G102*C102</f>
      </c>
      <c r="I102" s="7">
        <f>H102/(1-$B$2)</f>
      </c>
      <c r="J102" s="7">
        <f>I102/C102</f>
      </c>
      <c r="K102" s="7">
        <f>I102-H102</f>
      </c>
      <c r="L102" s="7">
        <f>K102/C102</f>
      </c>
      <c r="M102" s="8">
        <f>K102/I102</f>
      </c>
      <c r="N102" s="7"/>
      <c r="O102" s="7"/>
      <c r="P102" s="7"/>
      <c r="Q102" s="7"/>
      <c r="R102" s="7"/>
      <c r="S102" s="7"/>
      <c r="T102" s="7"/>
      <c r="U102" s="7">
        <f>G102/(1-$B$2)</f>
      </c>
    </row>
    <row r="103" spans="1:21" x14ac:dyDescent="0.25">
      <c r="A103" t="s">
        <v>57</v>
      </c>
      <c r="B103">
        <v>8</v>
      </c>
      <c r="C103">
        <v>12</v>
      </c>
      <c r="D103" s="9">
        <v>5.53</v>
      </c>
      <c r="E103" s="9">
        <v>67.45</v>
      </c>
      <c r="F103" s="9">
        <f>E103/C103</f>
      </c>
      <c r="G103" s="9">
        <f>D103+F103</f>
      </c>
      <c r="H103" s="9">
        <f>G103*C103</f>
      </c>
      <c r="I103" s="9">
        <f>H103/(1-$B$2)</f>
      </c>
      <c r="J103" s="9">
        <f>I103/C103</f>
      </c>
      <c r="K103" s="9">
        <f>I103-H103</f>
      </c>
      <c r="L103" s="9">
        <f>K103/C103</f>
      </c>
      <c r="M103" s="10">
        <f>K103/I103</f>
      </c>
      <c r="N103" s="9"/>
      <c r="O103" s="9"/>
      <c r="P103" s="9"/>
      <c r="Q103" s="9"/>
      <c r="R103" s="9"/>
      <c r="S103" s="9"/>
      <c r="T103" s="9"/>
      <c r="U103" s="9">
        <f>G103/(1-$B$2)</f>
      </c>
    </row>
    <row r="104" spans="1:21" x14ac:dyDescent="0.25">
      <c r="A104" s="6" t="s">
        <v>57</v>
      </c>
      <c r="B104" s="6">
        <v>10</v>
      </c>
      <c r="C104" s="6">
        <v>12</v>
      </c>
      <c r="D104" s="7">
        <v>6.09</v>
      </c>
      <c r="E104" s="7">
        <v>67.45</v>
      </c>
      <c r="F104" s="7">
        <f>E104/C104</f>
      </c>
      <c r="G104" s="7">
        <f>D104+F104</f>
      </c>
      <c r="H104" s="7">
        <f>G104*C104</f>
      </c>
      <c r="I104" s="7">
        <f>H104/(1-$B$2)</f>
      </c>
      <c r="J104" s="7">
        <f>I104/C104</f>
      </c>
      <c r="K104" s="7">
        <f>I104-H104</f>
      </c>
      <c r="L104" s="7">
        <f>K104/C104</f>
      </c>
      <c r="M104" s="8">
        <f>K104/I104</f>
      </c>
      <c r="N104" s="7"/>
      <c r="O104" s="7"/>
      <c r="P104" s="7"/>
      <c r="Q104" s="7"/>
      <c r="R104" s="7"/>
      <c r="S104" s="7"/>
      <c r="T104" s="7"/>
      <c r="U104" s="7">
        <f>G104/(1-$B$2)</f>
      </c>
    </row>
    <row r="105" spans="1:21" x14ac:dyDescent="0.25">
      <c r="A105" t="s">
        <v>57</v>
      </c>
      <c r="B105">
        <v>13</v>
      </c>
      <c r="C105">
        <v>12</v>
      </c>
      <c r="D105" s="9">
        <v>12.62</v>
      </c>
      <c r="E105" s="9">
        <v>67.45</v>
      </c>
      <c r="F105" s="9">
        <f>E105/C105</f>
      </c>
      <c r="G105" s="9">
        <f>D105+F105</f>
      </c>
      <c r="H105" s="9">
        <f>G105*C105</f>
      </c>
      <c r="I105" s="9">
        <f>H105/(1-$B$2)</f>
      </c>
      <c r="J105" s="9">
        <f>I105/C105</f>
      </c>
      <c r="K105" s="9">
        <f>I105-H105</f>
      </c>
      <c r="L105" s="9">
        <f>K105/C105</f>
      </c>
      <c r="M105" s="10">
        <f>K105/I105</f>
      </c>
      <c r="N105" s="9"/>
      <c r="O105" s="9"/>
      <c r="P105" s="9"/>
      <c r="Q105" s="9"/>
      <c r="R105" s="9"/>
      <c r="S105" s="9"/>
      <c r="T105" s="9"/>
      <c r="U105" s="9">
        <f>G105/(1-$B$2)</f>
      </c>
    </row>
    <row r="106" spans="1:21" x14ac:dyDescent="0.25">
      <c r="A106" s="6" t="s">
        <v>58</v>
      </c>
      <c r="B106" s="6">
        <v>8</v>
      </c>
      <c r="C106" s="6">
        <v>12</v>
      </c>
      <c r="D106" s="7">
        <v>6.18</v>
      </c>
      <c r="E106" s="7">
        <v>67.48</v>
      </c>
      <c r="F106" s="7">
        <f>E106/C106</f>
      </c>
      <c r="G106" s="7">
        <f>D106+F106</f>
      </c>
      <c r="H106" s="7">
        <f>G106*C106</f>
      </c>
      <c r="I106" s="7">
        <f>H106/(1-$B$2)</f>
      </c>
      <c r="J106" s="7">
        <f>I106/C106</f>
      </c>
      <c r="K106" s="7">
        <f>I106-H106</f>
      </c>
      <c r="L106" s="7">
        <f>K106/C106</f>
      </c>
      <c r="M106" s="8">
        <f>K106/I106</f>
      </c>
      <c r="N106" s="7"/>
      <c r="O106" s="7"/>
      <c r="P106" s="7"/>
      <c r="Q106" s="7"/>
      <c r="R106" s="7"/>
      <c r="S106" s="7"/>
      <c r="T106" s="7"/>
      <c r="U106" s="7">
        <f>G106/(1-$B$2)</f>
      </c>
    </row>
    <row r="107" spans="1:21" x14ac:dyDescent="0.25">
      <c r="A107" t="s">
        <v>58</v>
      </c>
      <c r="B107">
        <v>10</v>
      </c>
      <c r="C107">
        <v>12</v>
      </c>
      <c r="D107" s="9">
        <v>6.8</v>
      </c>
      <c r="E107" s="9">
        <v>67.48</v>
      </c>
      <c r="F107" s="9">
        <f>E107/C107</f>
      </c>
      <c r="G107" s="9">
        <f>D107+F107</f>
      </c>
      <c r="H107" s="9">
        <f>G107*C107</f>
      </c>
      <c r="I107" s="9">
        <f>H107/(1-$B$2)</f>
      </c>
      <c r="J107" s="9">
        <f>I107/C107</f>
      </c>
      <c r="K107" s="9">
        <f>I107-H107</f>
      </c>
      <c r="L107" s="9">
        <f>K107/C107</f>
      </c>
      <c r="M107" s="10">
        <f>K107/I107</f>
      </c>
      <c r="N107" s="9"/>
      <c r="O107" s="9"/>
      <c r="P107" s="9"/>
      <c r="Q107" s="9"/>
      <c r="R107" s="9"/>
      <c r="S107" s="9"/>
      <c r="T107" s="9"/>
      <c r="U107" s="9">
        <f>G107/(1-$B$2)</f>
      </c>
    </row>
    <row r="108" spans="1:21" x14ac:dyDescent="0.25">
      <c r="A108" s="6" t="s">
        <v>58</v>
      </c>
      <c r="B108" s="6">
        <v>13</v>
      </c>
      <c r="C108" s="6">
        <v>12</v>
      </c>
      <c r="D108" s="7">
        <v>13.75</v>
      </c>
      <c r="E108" s="7">
        <v>67.48</v>
      </c>
      <c r="F108" s="7">
        <f>E108/C108</f>
      </c>
      <c r="G108" s="7">
        <f>D108+F108</f>
      </c>
      <c r="H108" s="7">
        <f>G108*C108</f>
      </c>
      <c r="I108" s="7">
        <f>H108/(1-$B$2)</f>
      </c>
      <c r="J108" s="7">
        <f>I108/C108</f>
      </c>
      <c r="K108" s="7">
        <f>I108-H108</f>
      </c>
      <c r="L108" s="7">
        <f>K108/C108</f>
      </c>
      <c r="M108" s="8">
        <f>K108/I108</f>
      </c>
      <c r="N108" s="7"/>
      <c r="O108" s="7"/>
      <c r="P108" s="7"/>
      <c r="Q108" s="7"/>
      <c r="R108" s="7"/>
      <c r="S108" s="7"/>
      <c r="T108" s="7"/>
      <c r="U108" s="7">
        <f>G108/(1-$B$2)</f>
      </c>
    </row>
    <row r="109" spans="1:21" x14ac:dyDescent="0.25">
      <c r="A109" t="s">
        <v>59</v>
      </c>
      <c r="B109">
        <v>8</v>
      </c>
      <c r="C109">
        <v>12</v>
      </c>
      <c r="D109" s="9">
        <v>5.05</v>
      </c>
      <c r="E109" s="9">
        <v>48.62</v>
      </c>
      <c r="F109" s="9">
        <f>E109/C109</f>
      </c>
      <c r="G109" s="9">
        <f>D109+F109</f>
      </c>
      <c r="H109" s="9">
        <f>G109*C109</f>
      </c>
      <c r="I109" s="9">
        <f>H109/(1-$B$2)</f>
      </c>
      <c r="J109" s="9">
        <f>I109/C109</f>
      </c>
      <c r="K109" s="9">
        <f>I109-H109</f>
      </c>
      <c r="L109" s="9">
        <f>K109/C109</f>
      </c>
      <c r="M109" s="10">
        <f>K109/I109</f>
      </c>
      <c r="N109" s="9"/>
      <c r="O109" s="9"/>
      <c r="P109" s="9"/>
      <c r="Q109" s="9"/>
      <c r="R109" s="9"/>
      <c r="S109" s="9"/>
      <c r="T109" s="9"/>
      <c r="U109" s="9">
        <f>G109/(1-$B$2)</f>
      </c>
    </row>
    <row r="110" spans="1:21" x14ac:dyDescent="0.25">
      <c r="A110" s="6" t="s">
        <v>59</v>
      </c>
      <c r="B110" s="6">
        <v>10</v>
      </c>
      <c r="C110" s="6">
        <v>12</v>
      </c>
      <c r="D110" s="7">
        <v>5.56</v>
      </c>
      <c r="E110" s="7">
        <v>48.62</v>
      </c>
      <c r="F110" s="7">
        <f>E110/C110</f>
      </c>
      <c r="G110" s="7">
        <f>D110+F110</f>
      </c>
      <c r="H110" s="7">
        <f>G110*C110</f>
      </c>
      <c r="I110" s="7">
        <f>H110/(1-$B$2)</f>
      </c>
      <c r="J110" s="7">
        <f>I110/C110</f>
      </c>
      <c r="K110" s="7">
        <f>I110-H110</f>
      </c>
      <c r="L110" s="7">
        <f>K110/C110</f>
      </c>
      <c r="M110" s="8">
        <f>K110/I110</f>
      </c>
      <c r="N110" s="7"/>
      <c r="O110" s="7"/>
      <c r="P110" s="7"/>
      <c r="Q110" s="7"/>
      <c r="R110" s="7"/>
      <c r="S110" s="7"/>
      <c r="T110" s="7"/>
      <c r="U110" s="7">
        <f>G110/(1-$B$2)</f>
      </c>
    </row>
    <row r="111" spans="1:21" x14ac:dyDescent="0.25">
      <c r="A111" t="s">
        <v>59</v>
      </c>
      <c r="B111">
        <v>13</v>
      </c>
      <c r="C111">
        <v>12</v>
      </c>
      <c r="D111" s="9">
        <v>11.56</v>
      </c>
      <c r="E111" s="9">
        <v>48.62</v>
      </c>
      <c r="F111" s="9">
        <f>E111/C111</f>
      </c>
      <c r="G111" s="9">
        <f>D111+F111</f>
      </c>
      <c r="H111" s="9">
        <f>G111*C111</f>
      </c>
      <c r="I111" s="9">
        <f>H111/(1-$B$2)</f>
      </c>
      <c r="J111" s="9">
        <f>I111/C111</f>
      </c>
      <c r="K111" s="9">
        <f>I111-H111</f>
      </c>
      <c r="L111" s="9">
        <f>K111/C111</f>
      </c>
      <c r="M111" s="10">
        <f>K111/I111</f>
      </c>
      <c r="N111" s="9"/>
      <c r="O111" s="9"/>
      <c r="P111" s="9"/>
      <c r="Q111" s="9"/>
      <c r="R111" s="9"/>
      <c r="S111" s="9"/>
      <c r="T111" s="9"/>
      <c r="U111" s="9">
        <f>G111/(1-$B$2)</f>
      </c>
    </row>
    <row r="112" spans="1:21" x14ac:dyDescent="0.25">
      <c r="A112" s="6" t="s">
        <v>60</v>
      </c>
      <c r="B112" s="6">
        <v>8</v>
      </c>
      <c r="C112" s="6">
        <v>12</v>
      </c>
      <c r="D112" s="7">
        <v>5.84</v>
      </c>
      <c r="E112" s="7">
        <v>68.47</v>
      </c>
      <c r="F112" s="7">
        <f>E112/C112</f>
      </c>
      <c r="G112" s="7">
        <f>D112+F112</f>
      </c>
      <c r="H112" s="7">
        <f>G112*C112</f>
      </c>
      <c r="I112" s="7">
        <f>H112/(1-$B$2)</f>
      </c>
      <c r="J112" s="7">
        <f>I112/C112</f>
      </c>
      <c r="K112" s="7">
        <f>I112-H112</f>
      </c>
      <c r="L112" s="7">
        <f>K112/C112</f>
      </c>
      <c r="M112" s="8">
        <f>K112/I112</f>
      </c>
      <c r="N112" s="7"/>
      <c r="O112" s="7"/>
      <c r="P112" s="7"/>
      <c r="Q112" s="7"/>
      <c r="R112" s="7"/>
      <c r="S112" s="7"/>
      <c r="T112" s="7"/>
      <c r="U112" s="7">
        <f>G112/(1-$B$2)</f>
      </c>
    </row>
    <row r="113" spans="1:21" x14ac:dyDescent="0.25">
      <c r="A113" t="s">
        <v>60</v>
      </c>
      <c r="B113">
        <v>10</v>
      </c>
      <c r="C113">
        <v>12</v>
      </c>
      <c r="D113" s="9">
        <v>6.42</v>
      </c>
      <c r="E113" s="9">
        <v>68.47</v>
      </c>
      <c r="F113" s="9">
        <f>E113/C113</f>
      </c>
      <c r="G113" s="9">
        <f>D113+F113</f>
      </c>
      <c r="H113" s="9">
        <f>G113*C113</f>
      </c>
      <c r="I113" s="9">
        <f>H113/(1-$B$2)</f>
      </c>
      <c r="J113" s="9">
        <f>I113/C113</f>
      </c>
      <c r="K113" s="9">
        <f>I113-H113</f>
      </c>
      <c r="L113" s="9">
        <f>K113/C113</f>
      </c>
      <c r="M113" s="10">
        <f>K113/I113</f>
      </c>
      <c r="N113" s="9"/>
      <c r="O113" s="9"/>
      <c r="P113" s="9"/>
      <c r="Q113" s="9"/>
      <c r="R113" s="9"/>
      <c r="S113" s="9"/>
      <c r="T113" s="9"/>
      <c r="U113" s="9">
        <f>G113/(1-$B$2)</f>
      </c>
    </row>
    <row r="114" spans="1:21" x14ac:dyDescent="0.25">
      <c r="A114" s="6" t="s">
        <v>60</v>
      </c>
      <c r="B114" s="6">
        <v>13</v>
      </c>
      <c r="C114" s="6">
        <v>12</v>
      </c>
      <c r="D114" s="7">
        <v>13.58</v>
      </c>
      <c r="E114" s="7">
        <v>68.47</v>
      </c>
      <c r="F114" s="7">
        <f>E114/C114</f>
      </c>
      <c r="G114" s="7">
        <f>D114+F114</f>
      </c>
      <c r="H114" s="7">
        <f>G114*C114</f>
      </c>
      <c r="I114" s="7">
        <f>H114/(1-$B$2)</f>
      </c>
      <c r="J114" s="7">
        <f>I114/C114</f>
      </c>
      <c r="K114" s="7">
        <f>I114-H114</f>
      </c>
      <c r="L114" s="7">
        <f>K114/C114</f>
      </c>
      <c r="M114" s="8">
        <f>K114/I114</f>
      </c>
      <c r="N114" s="7"/>
      <c r="O114" s="7"/>
      <c r="P114" s="7"/>
      <c r="Q114" s="7"/>
      <c r="R114" s="7"/>
      <c r="S114" s="7"/>
      <c r="T114" s="7"/>
      <c r="U114" s="7">
        <f>G114/(1-$B$2)</f>
      </c>
    </row>
    <row r="115" spans="1:21" x14ac:dyDescent="0.25">
      <c r="A115" t="s">
        <v>61</v>
      </c>
      <c r="B115">
        <v>8</v>
      </c>
      <c r="C115">
        <v>12</v>
      </c>
      <c r="D115" s="9">
        <v>5.68</v>
      </c>
      <c r="E115" s="9">
        <v>69.09</v>
      </c>
      <c r="F115" s="9">
        <f>E115/C115</f>
      </c>
      <c r="G115" s="9">
        <f>D115+F115</f>
      </c>
      <c r="H115" s="9">
        <f>G115*C115</f>
      </c>
      <c r="I115" s="9">
        <f>H115/(1-$B$2)</f>
      </c>
      <c r="J115" s="9">
        <f>I115/C115</f>
      </c>
      <c r="K115" s="9">
        <f>I115-H115</f>
      </c>
      <c r="L115" s="9">
        <f>K115/C115</f>
      </c>
      <c r="M115" s="10">
        <f>K115/I115</f>
      </c>
      <c r="N115" s="9">
        <v>26.99</v>
      </c>
      <c r="O115" s="9">
        <v>12.49</v>
      </c>
      <c r="P115" s="9">
        <v>10.83</v>
      </c>
      <c r="Q115" s="9">
        <v>9.58</v>
      </c>
      <c r="R115" s="9">
        <v>11.99</v>
      </c>
      <c r="S115" s="9">
        <v>9.16</v>
      </c>
      <c r="T115" s="9">
        <v>8.54</v>
      </c>
      <c r="U115" s="9">
        <f>G115/(1-$B$2)</f>
      </c>
    </row>
    <row r="116" spans="1:21" x14ac:dyDescent="0.25">
      <c r="A116" s="6" t="s">
        <v>61</v>
      </c>
      <c r="B116" s="6">
        <v>10</v>
      </c>
      <c r="C116" s="6">
        <v>12</v>
      </c>
      <c r="D116" s="7">
        <v>6.25</v>
      </c>
      <c r="E116" s="7">
        <v>69.09</v>
      </c>
      <c r="F116" s="7">
        <f>E116/C116</f>
      </c>
      <c r="G116" s="7">
        <f>D116+F116</f>
      </c>
      <c r="H116" s="7">
        <f>G116*C116</f>
      </c>
      <c r="I116" s="7">
        <f>H116/(1-$B$2)</f>
      </c>
      <c r="J116" s="7">
        <f>I116/C116</f>
      </c>
      <c r="K116" s="7">
        <f>I116-H116</f>
      </c>
      <c r="L116" s="7">
        <f>K116/C116</f>
      </c>
      <c r="M116" s="8">
        <f>K116/I116</f>
      </c>
      <c r="N116" s="7"/>
      <c r="O116" s="7"/>
      <c r="P116" s="7"/>
      <c r="Q116" s="7"/>
      <c r="R116" s="7"/>
      <c r="S116" s="7"/>
      <c r="T116" s="7"/>
      <c r="U116" s="7">
        <f>G116/(1-$B$2)</f>
      </c>
    </row>
    <row r="117" spans="1:21" x14ac:dyDescent="0.25">
      <c r="A117" t="s">
        <v>61</v>
      </c>
      <c r="B117">
        <v>13</v>
      </c>
      <c r="C117">
        <v>12</v>
      </c>
      <c r="D117" s="9">
        <v>13.56</v>
      </c>
      <c r="E117" s="9">
        <v>69.09</v>
      </c>
      <c r="F117" s="9">
        <f>E117/C117</f>
      </c>
      <c r="G117" s="9">
        <f>D117+F117</f>
      </c>
      <c r="H117" s="9">
        <f>G117*C117</f>
      </c>
      <c r="I117" s="9">
        <f>H117/(1-$B$2)</f>
      </c>
      <c r="J117" s="9">
        <f>I117/C117</f>
      </c>
      <c r="K117" s="9">
        <f>I117-H117</f>
      </c>
      <c r="L117" s="9">
        <f>K117/C117</f>
      </c>
      <c r="M117" s="10">
        <f>K117/I117</f>
      </c>
      <c r="N117" s="9">
        <v>38.99</v>
      </c>
      <c r="O117" s="9">
        <v>19.99</v>
      </c>
      <c r="P117" s="9">
        <v>18.83</v>
      </c>
      <c r="Q117" s="9">
        <v>16.66</v>
      </c>
      <c r="R117" s="9">
        <v>19.94</v>
      </c>
      <c r="S117" s="9">
        <v>18.78</v>
      </c>
      <c r="T117" s="9">
        <v>16.62</v>
      </c>
      <c r="U117" s="9">
        <f>G117/(1-$B$2)</f>
      </c>
    </row>
    <row r="118" spans="1:21" x14ac:dyDescent="0.25">
      <c r="A118" s="6" t="s">
        <v>62</v>
      </c>
      <c r="B118" s="6">
        <v>8</v>
      </c>
      <c r="C118" s="6">
        <v>12</v>
      </c>
      <c r="D118" s="7">
        <v>7.06</v>
      </c>
      <c r="E118" s="7">
        <v>74.23</v>
      </c>
      <c r="F118" s="7">
        <f>E118/C118</f>
      </c>
      <c r="G118" s="7">
        <f>D118+F118</f>
      </c>
      <c r="H118" s="7">
        <f>G118*C118</f>
      </c>
      <c r="I118" s="7">
        <f>H118/(1-$B$2)</f>
      </c>
      <c r="J118" s="7">
        <f>I118/C118</f>
      </c>
      <c r="K118" s="7">
        <f>I118-H118</f>
      </c>
      <c r="L118" s="7">
        <f>K118/C118</f>
      </c>
      <c r="M118" s="8">
        <f>K118/I118</f>
      </c>
      <c r="N118" s="7"/>
      <c r="O118" s="7"/>
      <c r="P118" s="7"/>
      <c r="Q118" s="7"/>
      <c r="R118" s="7"/>
      <c r="S118" s="7"/>
      <c r="T118" s="7"/>
      <c r="U118" s="7">
        <f>G118/(1-$B$2)</f>
      </c>
    </row>
    <row r="119" spans="1:21" x14ac:dyDescent="0.25">
      <c r="A119" t="s">
        <v>62</v>
      </c>
      <c r="B119">
        <v>10</v>
      </c>
      <c r="C119">
        <v>12</v>
      </c>
      <c r="D119" s="9">
        <v>7.77</v>
      </c>
      <c r="E119" s="9">
        <v>74.23</v>
      </c>
      <c r="F119" s="9">
        <f>E119/C119</f>
      </c>
      <c r="G119" s="9">
        <f>D119+F119</f>
      </c>
      <c r="H119" s="9">
        <f>G119*C119</f>
      </c>
      <c r="I119" s="9">
        <f>H119/(1-$B$2)</f>
      </c>
      <c r="J119" s="9">
        <f>I119/C119</f>
      </c>
      <c r="K119" s="9">
        <f>I119-H119</f>
      </c>
      <c r="L119" s="9">
        <f>K119/C119</f>
      </c>
      <c r="M119" s="10">
        <f>K119/I119</f>
      </c>
      <c r="N119" s="9"/>
      <c r="O119" s="9"/>
      <c r="P119" s="9"/>
      <c r="Q119" s="9"/>
      <c r="R119" s="9"/>
      <c r="S119" s="9"/>
      <c r="T119" s="9"/>
      <c r="U119" s="9">
        <f>G119/(1-$B$2)</f>
      </c>
    </row>
    <row r="120" spans="1:21" x14ac:dyDescent="0.25">
      <c r="A120" s="6" t="s">
        <v>62</v>
      </c>
      <c r="B120" s="6">
        <v>13</v>
      </c>
      <c r="C120" s="6">
        <v>12</v>
      </c>
      <c r="D120" s="7">
        <v>16.69</v>
      </c>
      <c r="E120" s="7">
        <v>74.23</v>
      </c>
      <c r="F120" s="7">
        <f>E120/C120</f>
      </c>
      <c r="G120" s="7">
        <f>D120+F120</f>
      </c>
      <c r="H120" s="7">
        <f>G120*C120</f>
      </c>
      <c r="I120" s="7">
        <f>H120/(1-$B$2)</f>
      </c>
      <c r="J120" s="7">
        <f>I120/C120</f>
      </c>
      <c r="K120" s="7">
        <f>I120-H120</f>
      </c>
      <c r="L120" s="7">
        <f>K120/C120</f>
      </c>
      <c r="M120" s="8">
        <f>K120/I120</f>
      </c>
      <c r="N120" s="7"/>
      <c r="O120" s="7"/>
      <c r="P120" s="7"/>
      <c r="Q120" s="7"/>
      <c r="R120" s="7"/>
      <c r="S120" s="7"/>
      <c r="T120" s="7"/>
      <c r="U120" s="7">
        <f>G120/(1-$B$2)</f>
      </c>
    </row>
    <row r="121" spans="1:21" x14ac:dyDescent="0.25">
      <c r="A121" t="s">
        <v>63</v>
      </c>
      <c r="B121">
        <v>8</v>
      </c>
      <c r="C121">
        <v>12</v>
      </c>
      <c r="D121" s="9">
        <v>14.17</v>
      </c>
      <c r="E121" s="9">
        <v>81.83</v>
      </c>
      <c r="F121" s="9">
        <f>E121/C121</f>
      </c>
      <c r="G121" s="9">
        <f>D121+F121</f>
      </c>
      <c r="H121" s="9">
        <f>G121*C121</f>
      </c>
      <c r="I121" s="9">
        <f>H121/(1-$B$2)</f>
      </c>
      <c r="J121" s="9">
        <f>I121/C121</f>
      </c>
      <c r="K121" s="9">
        <f>I121-H121</f>
      </c>
      <c r="L121" s="9">
        <f>K121/C121</f>
      </c>
      <c r="M121" s="10">
        <f>K121/I121</f>
      </c>
      <c r="N121" s="9"/>
      <c r="O121" s="9"/>
      <c r="P121" s="9"/>
      <c r="Q121" s="9"/>
      <c r="R121" s="9"/>
      <c r="S121" s="9"/>
      <c r="T121" s="9"/>
      <c r="U121" s="9">
        <f>G121/(1-$B$2)</f>
      </c>
    </row>
    <row r="122" spans="1:21" x14ac:dyDescent="0.25">
      <c r="A122" s="6" t="s">
        <v>63</v>
      </c>
      <c r="B122" s="6">
        <v>10</v>
      </c>
      <c r="C122" s="6">
        <v>12</v>
      </c>
      <c r="D122" s="7">
        <v>15.59</v>
      </c>
      <c r="E122" s="7">
        <v>81.83</v>
      </c>
      <c r="F122" s="7">
        <f>E122/C122</f>
      </c>
      <c r="G122" s="7">
        <f>D122+F122</f>
      </c>
      <c r="H122" s="7">
        <f>G122*C122</f>
      </c>
      <c r="I122" s="7">
        <f>H122/(1-$B$2)</f>
      </c>
      <c r="J122" s="7">
        <f>I122/C122</f>
      </c>
      <c r="K122" s="7">
        <f>I122-H122</f>
      </c>
      <c r="L122" s="7">
        <f>K122/C122</f>
      </c>
      <c r="M122" s="8">
        <f>K122/I122</f>
      </c>
      <c r="N122" s="7"/>
      <c r="O122" s="7"/>
      <c r="P122" s="7"/>
      <c r="Q122" s="7"/>
      <c r="R122" s="7"/>
      <c r="S122" s="7"/>
      <c r="T122" s="7"/>
      <c r="U122" s="7">
        <f>G122/(1-$B$2)</f>
      </c>
    </row>
    <row r="123" spans="1:21" x14ac:dyDescent="0.25">
      <c r="A123" t="s">
        <v>63</v>
      </c>
      <c r="B123">
        <v>13</v>
      </c>
      <c r="C123">
        <v>12</v>
      </c>
      <c r="D123" s="9">
        <v>25.51</v>
      </c>
      <c r="E123" s="9">
        <v>81.83</v>
      </c>
      <c r="F123" s="9">
        <f>E123/C123</f>
      </c>
      <c r="G123" s="9">
        <f>D123+F123</f>
      </c>
      <c r="H123" s="9">
        <f>G123*C123</f>
      </c>
      <c r="I123" s="9">
        <f>H123/(1-$B$2)</f>
      </c>
      <c r="J123" s="9">
        <f>I123/C123</f>
      </c>
      <c r="K123" s="9">
        <f>I123-H123</f>
      </c>
      <c r="L123" s="9">
        <f>K123/C123</f>
      </c>
      <c r="M123" s="10">
        <f>K123/I123</f>
      </c>
      <c r="N123" s="9"/>
      <c r="O123" s="9"/>
      <c r="P123" s="9"/>
      <c r="Q123" s="9"/>
      <c r="R123" s="9"/>
      <c r="S123" s="9"/>
      <c r="T123" s="9"/>
      <c r="U123" s="9">
        <f>G123/(1-$B$2)</f>
      </c>
    </row>
    <row r="124" spans="1:21" x14ac:dyDescent="0.25">
      <c r="A124" s="6" t="s">
        <v>64</v>
      </c>
      <c r="B124" s="6">
        <v>8</v>
      </c>
      <c r="C124" s="6">
        <v>6</v>
      </c>
      <c r="D124" s="7">
        <v>7.87</v>
      </c>
      <c r="E124" s="7">
        <v>39.57</v>
      </c>
      <c r="F124" s="7">
        <f>E124/C124</f>
      </c>
      <c r="G124" s="7">
        <f>D124+F124</f>
      </c>
      <c r="H124" s="7">
        <f>G124*C124</f>
      </c>
      <c r="I124" s="7">
        <f>H124/(1-$B$2)</f>
      </c>
      <c r="J124" s="7">
        <f>I124/C124</f>
      </c>
      <c r="K124" s="7">
        <f>I124-H124</f>
      </c>
      <c r="L124" s="7">
        <f>K124/C124</f>
      </c>
      <c r="M124" s="8">
        <f>K124/I124</f>
      </c>
      <c r="N124" s="7"/>
      <c r="O124" s="7"/>
      <c r="P124" s="7"/>
      <c r="Q124" s="7"/>
      <c r="R124" s="7"/>
      <c r="S124" s="7"/>
      <c r="T124" s="7"/>
      <c r="U124" s="7">
        <f>G124/(1-$B$2)</f>
      </c>
    </row>
    <row r="125" spans="1:21" x14ac:dyDescent="0.25">
      <c r="A125" t="s">
        <v>64</v>
      </c>
      <c r="B125">
        <v>10</v>
      </c>
      <c r="C125">
        <v>6</v>
      </c>
      <c r="D125" s="9">
        <v>8.66</v>
      </c>
      <c r="E125" s="9">
        <v>39.57</v>
      </c>
      <c r="F125" s="9">
        <f>E125/C125</f>
      </c>
      <c r="G125" s="9">
        <f>D125+F125</f>
      </c>
      <c r="H125" s="9">
        <f>G125*C125</f>
      </c>
      <c r="I125" s="9">
        <f>H125/(1-$B$2)</f>
      </c>
      <c r="J125" s="9">
        <f>I125/C125</f>
      </c>
      <c r="K125" s="9">
        <f>I125-H125</f>
      </c>
      <c r="L125" s="9">
        <f>K125/C125</f>
      </c>
      <c r="M125" s="10">
        <f>K125/I125</f>
      </c>
      <c r="N125" s="9"/>
      <c r="O125" s="9"/>
      <c r="P125" s="9"/>
      <c r="Q125" s="9"/>
      <c r="R125" s="9"/>
      <c r="S125" s="9"/>
      <c r="T125" s="9"/>
      <c r="U125" s="9">
        <f>G125/(1-$B$2)</f>
      </c>
    </row>
    <row r="126" spans="1:21" x14ac:dyDescent="0.25">
      <c r="A126" s="6" t="s">
        <v>64</v>
      </c>
      <c r="B126" s="6">
        <v>13</v>
      </c>
      <c r="C126" s="6">
        <v>6</v>
      </c>
      <c r="D126" s="7">
        <v>14.17</v>
      </c>
      <c r="E126" s="7">
        <v>39.57</v>
      </c>
      <c r="F126" s="7">
        <f>E126/C126</f>
      </c>
      <c r="G126" s="7">
        <f>D126+F126</f>
      </c>
      <c r="H126" s="7">
        <f>G126*C126</f>
      </c>
      <c r="I126" s="7">
        <f>H126/(1-$B$2)</f>
      </c>
      <c r="J126" s="7">
        <f>I126/C126</f>
      </c>
      <c r="K126" s="7">
        <f>I126-H126</f>
      </c>
      <c r="L126" s="7">
        <f>K126/C126</f>
      </c>
      <c r="M126" s="8">
        <f>K126/I126</f>
      </c>
      <c r="N126" s="7"/>
      <c r="O126" s="7"/>
      <c r="P126" s="7"/>
      <c r="Q126" s="7"/>
      <c r="R126" s="7"/>
      <c r="S126" s="7"/>
      <c r="T126" s="7"/>
      <c r="U126" s="7">
        <f>G126/(1-$B$2)</f>
      </c>
    </row>
    <row r="127" spans="1:21" x14ac:dyDescent="0.25">
      <c r="A127" t="s">
        <v>65</v>
      </c>
      <c r="B127">
        <v>8</v>
      </c>
      <c r="C127">
        <v>6</v>
      </c>
      <c r="D127" s="9">
        <v>7.85</v>
      </c>
      <c r="E127" s="9">
        <v>42</v>
      </c>
      <c r="F127" s="9">
        <f>E127/C127</f>
      </c>
      <c r="G127" s="9">
        <f>D127+F127</f>
      </c>
      <c r="H127" s="9">
        <f>G127*C127</f>
      </c>
      <c r="I127" s="9">
        <f>H127/(1-$B$2)</f>
      </c>
      <c r="J127" s="9">
        <f>I127/C127</f>
      </c>
      <c r="K127" s="9">
        <f>I127-H127</f>
      </c>
      <c r="L127" s="9">
        <f>K127/C127</f>
      </c>
      <c r="M127" s="10">
        <f>K127/I127</f>
      </c>
      <c r="N127" s="9"/>
      <c r="O127" s="9"/>
      <c r="P127" s="9"/>
      <c r="Q127" s="9"/>
      <c r="R127" s="9"/>
      <c r="S127" s="9"/>
      <c r="T127" s="9"/>
      <c r="U127" s="9">
        <f>G127/(1-$B$2)</f>
      </c>
    </row>
    <row r="128" spans="1:21" x14ac:dyDescent="0.25">
      <c r="A128" s="6" t="s">
        <v>65</v>
      </c>
      <c r="B128" s="6">
        <v>10</v>
      </c>
      <c r="C128" s="6">
        <v>6</v>
      </c>
      <c r="D128" s="7">
        <v>8.64</v>
      </c>
      <c r="E128" s="7">
        <v>42</v>
      </c>
      <c r="F128" s="7">
        <f>E128/C128</f>
      </c>
      <c r="G128" s="7">
        <f>D128+F128</f>
      </c>
      <c r="H128" s="7">
        <f>G128*C128</f>
      </c>
      <c r="I128" s="7">
        <f>H128/(1-$B$2)</f>
      </c>
      <c r="J128" s="7">
        <f>I128/C128</f>
      </c>
      <c r="K128" s="7">
        <f>I128-H128</f>
      </c>
      <c r="L128" s="7">
        <f>K128/C128</f>
      </c>
      <c r="M128" s="8">
        <f>K128/I128</f>
      </c>
      <c r="N128" s="7"/>
      <c r="O128" s="7"/>
      <c r="P128" s="7"/>
      <c r="Q128" s="7"/>
      <c r="R128" s="7"/>
      <c r="S128" s="7"/>
      <c r="T128" s="7"/>
      <c r="U128" s="7">
        <f>G128/(1-$B$2)</f>
      </c>
    </row>
    <row r="129" spans="1:21" x14ac:dyDescent="0.25">
      <c r="A129" t="s">
        <v>65</v>
      </c>
      <c r="B129">
        <v>13</v>
      </c>
      <c r="C129">
        <v>6</v>
      </c>
      <c r="D129" s="9">
        <v>14.13</v>
      </c>
      <c r="E129" s="9">
        <v>42</v>
      </c>
      <c r="F129" s="9">
        <f>E129/C129</f>
      </c>
      <c r="G129" s="9">
        <f>D129+F129</f>
      </c>
      <c r="H129" s="9">
        <f>G129*C129</f>
      </c>
      <c r="I129" s="9">
        <f>H129/(1-$B$2)</f>
      </c>
      <c r="J129" s="9">
        <f>I129/C129</f>
      </c>
      <c r="K129" s="9">
        <f>I129-H129</f>
      </c>
      <c r="L129" s="9">
        <f>K129/C129</f>
      </c>
      <c r="M129" s="10">
        <f>K129/I129</f>
      </c>
      <c r="N129" s="9"/>
      <c r="O129" s="9"/>
      <c r="P129" s="9"/>
      <c r="Q129" s="9"/>
      <c r="R129" s="9"/>
      <c r="S129" s="9"/>
      <c r="T129" s="9"/>
      <c r="U129" s="9">
        <f>G129/(1-$B$2)</f>
      </c>
    </row>
    <row r="130" spans="1:21" x14ac:dyDescent="0.25">
      <c r="A130" s="6" t="s">
        <v>66</v>
      </c>
      <c r="B130" s="6">
        <v>8</v>
      </c>
      <c r="C130" s="6">
        <v>6</v>
      </c>
      <c r="D130" s="7">
        <v>8.85</v>
      </c>
      <c r="E130" s="7">
        <v>48.62</v>
      </c>
      <c r="F130" s="7">
        <f>E130/C130</f>
      </c>
      <c r="G130" s="7">
        <f>D130+F130</f>
      </c>
      <c r="H130" s="7">
        <f>G130*C130</f>
      </c>
      <c r="I130" s="7">
        <f>H130/(1-$B$2)</f>
      </c>
      <c r="J130" s="7">
        <f>I130/C130</f>
      </c>
      <c r="K130" s="7">
        <f>I130-H130</f>
      </c>
      <c r="L130" s="7">
        <f>K130/C130</f>
      </c>
      <c r="M130" s="8">
        <f>K130/I130</f>
      </c>
      <c r="N130" s="7">
        <v>33.99</v>
      </c>
      <c r="O130" s="7">
        <v>18.74</v>
      </c>
      <c r="P130" s="7">
        <v>15.99</v>
      </c>
      <c r="Q130" s="7">
        <v>15.08</v>
      </c>
      <c r="R130" s="7">
        <v>17.49</v>
      </c>
      <c r="S130" s="7">
        <v>15.59</v>
      </c>
      <c r="T130" s="7"/>
      <c r="U130" s="7">
        <f>G130/(1-$B$2)</f>
      </c>
    </row>
    <row r="131" spans="1:21" x14ac:dyDescent="0.25">
      <c r="A131" t="s">
        <v>66</v>
      </c>
      <c r="B131">
        <v>10</v>
      </c>
      <c r="C131">
        <v>6</v>
      </c>
      <c r="D131" s="9">
        <v>9.74</v>
      </c>
      <c r="E131" s="9">
        <v>48.62</v>
      </c>
      <c r="F131" s="9">
        <f>E131/C131</f>
      </c>
      <c r="G131" s="9">
        <f>D131+F131</f>
      </c>
      <c r="H131" s="9">
        <f>G131*C131</f>
      </c>
      <c r="I131" s="9">
        <f>H131/(1-$B$2)</f>
      </c>
      <c r="J131" s="9">
        <f>I131/C131</f>
      </c>
      <c r="K131" s="9">
        <f>I131-H131</f>
      </c>
      <c r="L131" s="9">
        <f>K131/C131</f>
      </c>
      <c r="M131" s="10">
        <f>K131/I131</f>
      </c>
      <c r="N131" s="9"/>
      <c r="O131" s="9"/>
      <c r="P131" s="9"/>
      <c r="Q131" s="9"/>
      <c r="R131" s="9"/>
      <c r="S131" s="9"/>
      <c r="T131" s="9"/>
      <c r="U131" s="9">
        <f>G131/(1-$B$2)</f>
      </c>
    </row>
    <row r="132" spans="1:21" x14ac:dyDescent="0.25">
      <c r="A132" s="6" t="s">
        <v>66</v>
      </c>
      <c r="B132" s="6">
        <v>13</v>
      </c>
      <c r="C132" s="6">
        <v>6</v>
      </c>
      <c r="D132" s="7">
        <v>15.93</v>
      </c>
      <c r="E132" s="7">
        <v>48.62</v>
      </c>
      <c r="F132" s="7">
        <f>E132/C132</f>
      </c>
      <c r="G132" s="7">
        <f>D132+F132</f>
      </c>
      <c r="H132" s="7">
        <f>G132*C132</f>
      </c>
      <c r="I132" s="7">
        <f>H132/(1-$B$2)</f>
      </c>
      <c r="J132" s="7">
        <f>I132/C132</f>
      </c>
      <c r="K132" s="7">
        <f>I132-H132</f>
      </c>
      <c r="L132" s="7">
        <f>K132/C132</f>
      </c>
      <c r="M132" s="8">
        <f>K132/I132</f>
      </c>
      <c r="N132" s="7">
        <v>49.99</v>
      </c>
      <c r="O132" s="7">
        <v>27.49</v>
      </c>
      <c r="P132" s="7">
        <v>22.66</v>
      </c>
      <c r="Q132" s="7">
        <v>22.33</v>
      </c>
      <c r="R132" s="7">
        <v>27.43</v>
      </c>
      <c r="S132" s="7">
        <v>22.61</v>
      </c>
      <c r="T132" s="7"/>
      <c r="U132" s="7">
        <f>G132/(1-$B$2)</f>
      </c>
    </row>
    <row r="133" spans="1:21" x14ac:dyDescent="0.25">
      <c r="A133" t="s">
        <v>67</v>
      </c>
      <c r="B133">
        <v>8</v>
      </c>
      <c r="C133">
        <v>6</v>
      </c>
      <c r="D133" s="9">
        <v>8.51</v>
      </c>
      <c r="E133" s="9">
        <v>67.45</v>
      </c>
      <c r="F133" s="9">
        <f>E133/C133</f>
      </c>
      <c r="G133" s="9">
        <f>D133+F133</f>
      </c>
      <c r="H133" s="9">
        <f>G133*C133</f>
      </c>
      <c r="I133" s="9">
        <f>H133/(1-$B$2)</f>
      </c>
      <c r="J133" s="9">
        <f>I133/C133</f>
      </c>
      <c r="K133" s="9">
        <f>I133-H133</f>
      </c>
      <c r="L133" s="9">
        <f>K133/C133</f>
      </c>
      <c r="M133" s="10">
        <f>K133/I133</f>
      </c>
      <c r="N133" s="9">
        <v>43.99</v>
      </c>
      <c r="O133" s="9">
        <v>25.74</v>
      </c>
      <c r="P133" s="9">
        <v>22.99</v>
      </c>
      <c r="Q133" s="9">
        <v>21.41</v>
      </c>
      <c r="R133" s="9"/>
      <c r="S133" s="9"/>
      <c r="T133" s="9"/>
      <c r="U133" s="9">
        <f>G133/(1-$B$2)</f>
      </c>
    </row>
    <row r="134" spans="1:21" x14ac:dyDescent="0.25">
      <c r="A134" s="6" t="s">
        <v>67</v>
      </c>
      <c r="B134" s="6">
        <v>10</v>
      </c>
      <c r="C134" s="6">
        <v>6</v>
      </c>
      <c r="D134" s="7">
        <v>9.36</v>
      </c>
      <c r="E134" s="7">
        <v>67.45</v>
      </c>
      <c r="F134" s="7">
        <f>E134/C134</f>
      </c>
      <c r="G134" s="7">
        <f>D134+F134</f>
      </c>
      <c r="H134" s="7">
        <f>G134*C134</f>
      </c>
      <c r="I134" s="7">
        <f>H134/(1-$B$2)</f>
      </c>
      <c r="J134" s="7">
        <f>I134/C134</f>
      </c>
      <c r="K134" s="7">
        <f>I134-H134</f>
      </c>
      <c r="L134" s="7">
        <f>K134/C134</f>
      </c>
      <c r="M134" s="8">
        <f>K134/I134</f>
      </c>
      <c r="N134" s="7"/>
      <c r="O134" s="7"/>
      <c r="P134" s="7"/>
      <c r="Q134" s="7"/>
      <c r="R134" s="7"/>
      <c r="S134" s="7"/>
      <c r="T134" s="7"/>
      <c r="U134" s="7">
        <f>G134/(1-$B$2)</f>
      </c>
    </row>
    <row r="135" spans="1:21" x14ac:dyDescent="0.25">
      <c r="A135" t="s">
        <v>67</v>
      </c>
      <c r="B135">
        <v>13</v>
      </c>
      <c r="C135">
        <v>6</v>
      </c>
      <c r="D135" s="9">
        <v>15.31</v>
      </c>
      <c r="E135" s="9">
        <v>67.45</v>
      </c>
      <c r="F135" s="9">
        <f>E135/C135</f>
      </c>
      <c r="G135" s="9">
        <f>D135+F135</f>
      </c>
      <c r="H135" s="9">
        <f>G135*C135</f>
      </c>
      <c r="I135" s="9">
        <f>H135/(1-$B$2)</f>
      </c>
      <c r="J135" s="9">
        <f>I135/C135</f>
      </c>
      <c r="K135" s="9">
        <f>I135-H135</f>
      </c>
      <c r="L135" s="9">
        <f>K135/C135</f>
      </c>
      <c r="M135" s="10">
        <f>K135/I135</f>
      </c>
      <c r="N135" s="9">
        <v>50.99</v>
      </c>
      <c r="O135" s="9">
        <v>29.99</v>
      </c>
      <c r="P135" s="9">
        <v>26.83</v>
      </c>
      <c r="Q135" s="9">
        <v>24.83</v>
      </c>
      <c r="R135" s="9"/>
      <c r="S135" s="9"/>
      <c r="T135" s="9"/>
      <c r="U135" s="9">
        <f>G135/(1-$B$2)</f>
      </c>
    </row>
    <row r="136" spans="1:21" x14ac:dyDescent="0.25">
      <c r="A136" s="6" t="s">
        <v>68</v>
      </c>
      <c r="B136" s="6">
        <v>8</v>
      </c>
      <c r="C136" s="6">
        <v>6</v>
      </c>
      <c r="D136" s="7">
        <v>8.88</v>
      </c>
      <c r="E136" s="7">
        <v>48.62</v>
      </c>
      <c r="F136" s="7">
        <f>E136/C136</f>
      </c>
      <c r="G136" s="7">
        <f>D136+F136</f>
      </c>
      <c r="H136" s="7">
        <f>G136*C136</f>
      </c>
      <c r="I136" s="7">
        <f>H136/(1-$B$2)</f>
      </c>
      <c r="J136" s="7">
        <f>I136/C136</f>
      </c>
      <c r="K136" s="7">
        <f>I136-H136</f>
      </c>
      <c r="L136" s="7">
        <f>K136/C136</f>
      </c>
      <c r="M136" s="8">
        <f>K136/I136</f>
      </c>
      <c r="N136" s="7"/>
      <c r="O136" s="7"/>
      <c r="P136" s="7"/>
      <c r="Q136" s="7"/>
      <c r="R136" s="7"/>
      <c r="S136" s="7"/>
      <c r="T136" s="7"/>
      <c r="U136" s="7">
        <f>G136/(1-$B$2)</f>
      </c>
    </row>
    <row r="137" spans="1:21" x14ac:dyDescent="0.25">
      <c r="A137" t="s">
        <v>68</v>
      </c>
      <c r="B137">
        <v>10</v>
      </c>
      <c r="C137">
        <v>6</v>
      </c>
      <c r="D137" s="9">
        <v>9.76</v>
      </c>
      <c r="E137" s="9">
        <v>48.62</v>
      </c>
      <c r="F137" s="9">
        <f>E137/C137</f>
      </c>
      <c r="G137" s="9">
        <f>D137+F137</f>
      </c>
      <c r="H137" s="9">
        <f>G137*C137</f>
      </c>
      <c r="I137" s="9">
        <f>H137/(1-$B$2)</f>
      </c>
      <c r="J137" s="9">
        <f>I137/C137</f>
      </c>
      <c r="K137" s="9">
        <f>I137-H137</f>
      </c>
      <c r="L137" s="9">
        <f>K137/C137</f>
      </c>
      <c r="M137" s="10">
        <f>K137/I137</f>
      </c>
      <c r="N137" s="9"/>
      <c r="O137" s="9"/>
      <c r="P137" s="9"/>
      <c r="Q137" s="9"/>
      <c r="R137" s="9"/>
      <c r="S137" s="9"/>
      <c r="T137" s="9"/>
      <c r="U137" s="9">
        <f>G137/(1-$B$2)</f>
      </c>
    </row>
    <row r="138" spans="1:21" x14ac:dyDescent="0.25">
      <c r="A138" s="6" t="s">
        <v>68</v>
      </c>
      <c r="B138" s="6">
        <v>13</v>
      </c>
      <c r="C138" s="6">
        <v>6</v>
      </c>
      <c r="D138" s="7">
        <v>15.97</v>
      </c>
      <c r="E138" s="7">
        <v>48.62</v>
      </c>
      <c r="F138" s="7">
        <f>E138/C138</f>
      </c>
      <c r="G138" s="7">
        <f>D138+F138</f>
      </c>
      <c r="H138" s="7">
        <f>G138*C138</f>
      </c>
      <c r="I138" s="7">
        <f>H138/(1-$B$2)</f>
      </c>
      <c r="J138" s="7">
        <f>I138/C138</f>
      </c>
      <c r="K138" s="7">
        <f>I138-H138</f>
      </c>
      <c r="L138" s="7">
        <f>K138/C138</f>
      </c>
      <c r="M138" s="8">
        <f>K138/I138</f>
      </c>
      <c r="N138" s="7"/>
      <c r="O138" s="7"/>
      <c r="P138" s="7"/>
      <c r="Q138" s="7"/>
      <c r="R138" s="7"/>
      <c r="S138" s="7"/>
      <c r="T138" s="7"/>
      <c r="U138" s="7">
        <f>G138/(1-$B$2)</f>
      </c>
    </row>
    <row r="139" spans="1:21" x14ac:dyDescent="0.25">
      <c r="A139" t="s">
        <v>69</v>
      </c>
      <c r="B139">
        <v>8</v>
      </c>
      <c r="C139">
        <v>6</v>
      </c>
      <c r="D139" s="9">
        <v>10.05</v>
      </c>
      <c r="E139" s="9">
        <v>68.47</v>
      </c>
      <c r="F139" s="9">
        <f>E139/C139</f>
      </c>
      <c r="G139" s="9">
        <f>D139+F139</f>
      </c>
      <c r="H139" s="9">
        <f>G139*C139</f>
      </c>
      <c r="I139" s="9">
        <f>H139/(1-$B$2)</f>
      </c>
      <c r="J139" s="9">
        <f>I139/C139</f>
      </c>
      <c r="K139" s="9">
        <f>I139-H139</f>
      </c>
      <c r="L139" s="9">
        <f>K139/C139</f>
      </c>
      <c r="M139" s="10">
        <f>K139/I139</f>
      </c>
      <c r="N139" s="9"/>
      <c r="O139" s="9"/>
      <c r="P139" s="9"/>
      <c r="Q139" s="9"/>
      <c r="R139" s="9"/>
      <c r="S139" s="9"/>
      <c r="T139" s="9"/>
      <c r="U139" s="9">
        <f>G139/(1-$B$2)</f>
      </c>
    </row>
    <row r="140" spans="1:21" x14ac:dyDescent="0.25">
      <c r="A140" s="6" t="s">
        <v>69</v>
      </c>
      <c r="B140" s="6">
        <v>10</v>
      </c>
      <c r="C140" s="6">
        <v>6</v>
      </c>
      <c r="D140" s="7">
        <v>11.05</v>
      </c>
      <c r="E140" s="7">
        <v>68.47</v>
      </c>
      <c r="F140" s="7">
        <f>E140/C140</f>
      </c>
      <c r="G140" s="7">
        <f>D140+F140</f>
      </c>
      <c r="H140" s="7">
        <f>G140*C140</f>
      </c>
      <c r="I140" s="7">
        <f>H140/(1-$B$2)</f>
      </c>
      <c r="J140" s="7">
        <f>I140/C140</f>
      </c>
      <c r="K140" s="7">
        <f>I140-H140</f>
      </c>
      <c r="L140" s="7">
        <f>K140/C140</f>
      </c>
      <c r="M140" s="8">
        <f>K140/I140</f>
      </c>
      <c r="N140" s="7"/>
      <c r="O140" s="7"/>
      <c r="P140" s="7"/>
      <c r="Q140" s="7"/>
      <c r="R140" s="7"/>
      <c r="S140" s="7"/>
      <c r="T140" s="7"/>
      <c r="U140" s="7">
        <f>G140/(1-$B$2)</f>
      </c>
    </row>
    <row r="141" spans="1:21" x14ac:dyDescent="0.25">
      <c r="A141" t="s">
        <v>69</v>
      </c>
      <c r="B141">
        <v>13</v>
      </c>
      <c r="C141">
        <v>6</v>
      </c>
      <c r="D141" s="9">
        <v>18.08</v>
      </c>
      <c r="E141" s="9">
        <v>68.47</v>
      </c>
      <c r="F141" s="9">
        <f>E141/C141</f>
      </c>
      <c r="G141" s="9">
        <f>D141+F141</f>
      </c>
      <c r="H141" s="9">
        <f>G141*C141</f>
      </c>
      <c r="I141" s="9">
        <f>H141/(1-$B$2)</f>
      </c>
      <c r="J141" s="9">
        <f>I141/C141</f>
      </c>
      <c r="K141" s="9">
        <f>I141-H141</f>
      </c>
      <c r="L141" s="9">
        <f>K141/C141</f>
      </c>
      <c r="M141" s="10">
        <f>K141/I141</f>
      </c>
      <c r="N141" s="9"/>
      <c r="O141" s="9"/>
      <c r="P141" s="9"/>
      <c r="Q141" s="9"/>
      <c r="R141" s="9"/>
      <c r="S141" s="9"/>
      <c r="T141" s="9"/>
      <c r="U141" s="9">
        <f>G141/(1-$B$2)</f>
      </c>
    </row>
    <row r="142" spans="1:21" x14ac:dyDescent="0.25">
      <c r="A142" s="6" t="s">
        <v>70</v>
      </c>
      <c r="B142" s="6">
        <v>8</v>
      </c>
      <c r="C142" s="6">
        <v>6</v>
      </c>
      <c r="D142" s="7">
        <v>10</v>
      </c>
      <c r="E142" s="7">
        <v>69.09</v>
      </c>
      <c r="F142" s="7">
        <f>E142/C142</f>
      </c>
      <c r="G142" s="7">
        <f>D142+F142</f>
      </c>
      <c r="H142" s="7">
        <f>G142*C142</f>
      </c>
      <c r="I142" s="7">
        <f>H142/(1-$B$2)</f>
      </c>
      <c r="J142" s="7">
        <f>I142/C142</f>
      </c>
      <c r="K142" s="7">
        <f>I142-H142</f>
      </c>
      <c r="L142" s="7">
        <f>K142/C142</f>
      </c>
      <c r="M142" s="8">
        <f>K142/I142</f>
      </c>
      <c r="N142" s="7">
        <v>33.99</v>
      </c>
      <c r="O142" s="7">
        <v>19.99</v>
      </c>
      <c r="P142" s="7">
        <v>16.66</v>
      </c>
      <c r="Q142" s="7">
        <v>14.83</v>
      </c>
      <c r="R142" s="7">
        <v>18.74</v>
      </c>
      <c r="S142" s="7">
        <v>15.34</v>
      </c>
      <c r="T142" s="7"/>
      <c r="U142" s="7">
        <f>G142/(1-$B$2)</f>
      </c>
    </row>
    <row r="143" spans="1:21" x14ac:dyDescent="0.25">
      <c r="A143" t="s">
        <v>70</v>
      </c>
      <c r="B143">
        <v>10</v>
      </c>
      <c r="C143">
        <v>6</v>
      </c>
      <c r="D143" s="9">
        <v>11</v>
      </c>
      <c r="E143" s="9">
        <v>69.09</v>
      </c>
      <c r="F143" s="9">
        <f>E143/C143</f>
      </c>
      <c r="G143" s="9">
        <f>D143+F143</f>
      </c>
      <c r="H143" s="9">
        <f>G143*C143</f>
      </c>
      <c r="I143" s="9">
        <f>H143/(1-$B$2)</f>
      </c>
      <c r="J143" s="9">
        <f>I143/C143</f>
      </c>
      <c r="K143" s="9">
        <f>I143-H143</f>
      </c>
      <c r="L143" s="9">
        <f>K143/C143</f>
      </c>
      <c r="M143" s="10">
        <f>K143/I143</f>
      </c>
      <c r="N143" s="9">
        <v>40.99</v>
      </c>
      <c r="O143" s="9">
        <v>24.49</v>
      </c>
      <c r="P143" s="9">
        <v>20.99</v>
      </c>
      <c r="Q143" s="9">
        <v>19.83</v>
      </c>
      <c r="R143" s="9"/>
      <c r="S143" s="9"/>
      <c r="T143" s="9"/>
      <c r="U143" s="9">
        <f>G143/(1-$B$2)</f>
      </c>
    </row>
    <row r="144" spans="1:21" x14ac:dyDescent="0.25">
      <c r="A144" s="6" t="s">
        <v>70</v>
      </c>
      <c r="B144" s="6">
        <v>13</v>
      </c>
      <c r="C144" s="6">
        <v>6</v>
      </c>
      <c r="D144" s="7">
        <v>18</v>
      </c>
      <c r="E144" s="7">
        <v>69.09</v>
      </c>
      <c r="F144" s="7">
        <f>E144/C144</f>
      </c>
      <c r="G144" s="7">
        <f>D144+F144</f>
      </c>
      <c r="H144" s="7">
        <f>G144*C144</f>
      </c>
      <c r="I144" s="7">
        <f>H144/(1-$B$2)</f>
      </c>
      <c r="J144" s="7">
        <f>I144/C144</f>
      </c>
      <c r="K144" s="7">
        <f>I144-H144</f>
      </c>
      <c r="L144" s="7">
        <f>K144/C144</f>
      </c>
      <c r="M144" s="8">
        <f>K144/I144</f>
      </c>
      <c r="N144" s="7">
        <v>46.99</v>
      </c>
      <c r="O144" s="7">
        <v>26.49</v>
      </c>
      <c r="P144" s="7">
        <v>23.33</v>
      </c>
      <c r="Q144" s="7">
        <v>22.49</v>
      </c>
      <c r="R144" s="7">
        <v>26.43</v>
      </c>
      <c r="S144" s="7">
        <v>23.27</v>
      </c>
      <c r="T144" s="7"/>
      <c r="U144" s="7">
        <f>G144/(1-$B$2)</f>
      </c>
    </row>
    <row r="145" spans="1:21" x14ac:dyDescent="0.25">
      <c r="A145" t="s">
        <v>71</v>
      </c>
      <c r="B145">
        <v>8</v>
      </c>
      <c r="C145">
        <v>6</v>
      </c>
      <c r="D145" s="9">
        <v>11.2</v>
      </c>
      <c r="E145" s="9">
        <v>68.47</v>
      </c>
      <c r="F145" s="9">
        <f>E145/C145</f>
      </c>
      <c r="G145" s="9">
        <f>D145+F145</f>
      </c>
      <c r="H145" s="9">
        <f>G145*C145</f>
      </c>
      <c r="I145" s="9">
        <f>H145/(1-$B$2)</f>
      </c>
      <c r="J145" s="9">
        <f>I145/C145</f>
      </c>
      <c r="K145" s="9">
        <f>I145-H145</f>
      </c>
      <c r="L145" s="9">
        <f>K145/C145</f>
      </c>
      <c r="M145" s="10">
        <f>K145/I145</f>
      </c>
      <c r="N145" s="9"/>
      <c r="O145" s="9"/>
      <c r="P145" s="9"/>
      <c r="Q145" s="9"/>
      <c r="R145" s="9"/>
      <c r="S145" s="9"/>
      <c r="T145" s="9"/>
      <c r="U145" s="9">
        <f>G145/(1-$B$2)</f>
      </c>
    </row>
    <row r="146" spans="1:21" x14ac:dyDescent="0.25">
      <c r="A146" s="6" t="s">
        <v>71</v>
      </c>
      <c r="B146" s="6">
        <v>10</v>
      </c>
      <c r="C146" s="6">
        <v>6</v>
      </c>
      <c r="D146" s="7">
        <v>12.32</v>
      </c>
      <c r="E146" s="7">
        <v>68.47</v>
      </c>
      <c r="F146" s="7">
        <f>E146/C146</f>
      </c>
      <c r="G146" s="7">
        <f>D146+F146</f>
      </c>
      <c r="H146" s="7">
        <f>G146*C146</f>
      </c>
      <c r="I146" s="7">
        <f>H146/(1-$B$2)</f>
      </c>
      <c r="J146" s="7">
        <f>I146/C146</f>
      </c>
      <c r="K146" s="7">
        <f>I146-H146</f>
      </c>
      <c r="L146" s="7">
        <f>K146/C146</f>
      </c>
      <c r="M146" s="8">
        <f>K146/I146</f>
      </c>
      <c r="N146" s="7"/>
      <c r="O146" s="7"/>
      <c r="P146" s="7"/>
      <c r="Q146" s="7"/>
      <c r="R146" s="7"/>
      <c r="S146" s="7"/>
      <c r="T146" s="7"/>
      <c r="U146" s="7">
        <f>G146/(1-$B$2)</f>
      </c>
    </row>
    <row r="147" spans="1:21" x14ac:dyDescent="0.25">
      <c r="A147" t="s">
        <v>71</v>
      </c>
      <c r="B147">
        <v>13</v>
      </c>
      <c r="C147">
        <v>6</v>
      </c>
      <c r="D147" s="9">
        <v>20.16</v>
      </c>
      <c r="E147" s="9">
        <v>68.47</v>
      </c>
      <c r="F147" s="9">
        <f>E147/C147</f>
      </c>
      <c r="G147" s="9">
        <f>D147+F147</f>
      </c>
      <c r="H147" s="9">
        <f>G147*C147</f>
      </c>
      <c r="I147" s="9">
        <f>H147/(1-$B$2)</f>
      </c>
      <c r="J147" s="9">
        <f>I147/C147</f>
      </c>
      <c r="K147" s="9">
        <f>I147-H147</f>
      </c>
      <c r="L147" s="9">
        <f>K147/C147</f>
      </c>
      <c r="M147" s="10">
        <f>K147/I147</f>
      </c>
      <c r="N147" s="9"/>
      <c r="O147" s="9"/>
      <c r="P147" s="9"/>
      <c r="Q147" s="9"/>
      <c r="R147" s="9"/>
      <c r="S147" s="9"/>
      <c r="T147" s="9"/>
      <c r="U147" s="9">
        <f>G147/(1-$B$2)</f>
      </c>
    </row>
    <row r="148" spans="1:21" x14ac:dyDescent="0.25">
      <c r="A148" s="6" t="s">
        <v>72</v>
      </c>
      <c r="B148" s="6">
        <v>8</v>
      </c>
      <c r="C148" s="6">
        <v>5</v>
      </c>
      <c r="D148" s="7">
        <v>12.22</v>
      </c>
      <c r="E148" s="7">
        <v>67.44</v>
      </c>
      <c r="F148" s="7">
        <f>E148/C148</f>
      </c>
      <c r="G148" s="7">
        <f>D148+F148</f>
      </c>
      <c r="H148" s="7">
        <f>G148*C148</f>
      </c>
      <c r="I148" s="7">
        <f>H148/(1-$B$2)</f>
      </c>
      <c r="J148" s="7">
        <f>I148/C148</f>
      </c>
      <c r="K148" s="7">
        <f>I148-H148</f>
      </c>
      <c r="L148" s="7">
        <f>K148/C148</f>
      </c>
      <c r="M148" s="8">
        <f>K148/I148</f>
      </c>
      <c r="N148" s="7"/>
      <c r="O148" s="7"/>
      <c r="P148" s="7"/>
      <c r="Q148" s="7"/>
      <c r="R148" s="7"/>
      <c r="S148" s="7"/>
      <c r="T148" s="7"/>
      <c r="U148" s="7">
        <f>G148/(1-$B$2)</f>
      </c>
    </row>
    <row r="149" spans="1:21" x14ac:dyDescent="0.25">
      <c r="A149" t="s">
        <v>72</v>
      </c>
      <c r="B149">
        <v>10</v>
      </c>
      <c r="C149">
        <v>5</v>
      </c>
      <c r="D149" s="9">
        <v>13.44</v>
      </c>
      <c r="E149" s="9">
        <v>67.44</v>
      </c>
      <c r="F149" s="9">
        <f>E149/C149</f>
      </c>
      <c r="G149" s="9">
        <f>D149+F149</f>
      </c>
      <c r="H149" s="9">
        <f>G149*C149</f>
      </c>
      <c r="I149" s="9">
        <f>H149/(1-$B$2)</f>
      </c>
      <c r="J149" s="9">
        <f>I149/C149</f>
      </c>
      <c r="K149" s="9">
        <f>I149-H149</f>
      </c>
      <c r="L149" s="9">
        <f>K149/C149</f>
      </c>
      <c r="M149" s="10">
        <f>K149/I149</f>
      </c>
      <c r="N149" s="9"/>
      <c r="O149" s="9"/>
      <c r="P149" s="9"/>
      <c r="Q149" s="9"/>
      <c r="R149" s="9"/>
      <c r="S149" s="9"/>
      <c r="T149" s="9"/>
      <c r="U149" s="9">
        <f>G149/(1-$B$2)</f>
      </c>
    </row>
    <row r="150" spans="1:21" x14ac:dyDescent="0.25">
      <c r="A150" s="6" t="s">
        <v>72</v>
      </c>
      <c r="B150" s="6">
        <v>13</v>
      </c>
      <c r="C150" s="6">
        <v>5</v>
      </c>
      <c r="D150" s="7">
        <v>21.99</v>
      </c>
      <c r="E150" s="7">
        <v>67.44</v>
      </c>
      <c r="F150" s="7">
        <f>E150/C150</f>
      </c>
      <c r="G150" s="7">
        <f>D150+F150</f>
      </c>
      <c r="H150" s="7">
        <f>G150*C150</f>
      </c>
      <c r="I150" s="7">
        <f>H150/(1-$B$2)</f>
      </c>
      <c r="J150" s="7">
        <f>I150/C150</f>
      </c>
      <c r="K150" s="7">
        <f>I150-H150</f>
      </c>
      <c r="L150" s="7">
        <f>K150/C150</f>
      </c>
      <c r="M150" s="8">
        <f>K150/I150</f>
      </c>
      <c r="N150" s="7"/>
      <c r="O150" s="7"/>
      <c r="P150" s="7"/>
      <c r="Q150" s="7"/>
      <c r="R150" s="7"/>
      <c r="S150" s="7"/>
      <c r="T150" s="7"/>
      <c r="U150" s="7">
        <f>G150/(1-$B$2)</f>
      </c>
    </row>
    <row r="151" spans="1:21" x14ac:dyDescent="0.25">
      <c r="A151" t="s">
        <v>73</v>
      </c>
      <c r="B151">
        <v>8</v>
      </c>
      <c r="C151">
        <v>5</v>
      </c>
      <c r="D151" s="9">
        <v>12.22</v>
      </c>
      <c r="E151" s="9">
        <v>45.99</v>
      </c>
      <c r="F151" s="9">
        <f>E151/C151</f>
      </c>
      <c r="G151" s="9">
        <f>D151+F151</f>
      </c>
      <c r="H151" s="9">
        <f>G151*C151</f>
      </c>
      <c r="I151" s="9">
        <f>H151/(1-$B$2)</f>
      </c>
      <c r="J151" s="9">
        <f>I151/C151</f>
      </c>
      <c r="K151" s="9">
        <f>I151-H151</f>
      </c>
      <c r="L151" s="9">
        <f>K151/C151</f>
      </c>
      <c r="M151" s="10">
        <f>K151/I151</f>
      </c>
      <c r="N151" s="9"/>
      <c r="O151" s="9"/>
      <c r="P151" s="9"/>
      <c r="Q151" s="9"/>
      <c r="R151" s="9"/>
      <c r="S151" s="9"/>
      <c r="T151" s="9"/>
      <c r="U151" s="9">
        <f>G151/(1-$B$2)</f>
      </c>
    </row>
    <row r="152" spans="1:21" x14ac:dyDescent="0.25">
      <c r="A152" s="6" t="s">
        <v>73</v>
      </c>
      <c r="B152" s="6">
        <v>10</v>
      </c>
      <c r="C152" s="6">
        <v>5</v>
      </c>
      <c r="D152" s="7">
        <v>13.44</v>
      </c>
      <c r="E152" s="7">
        <v>45.99</v>
      </c>
      <c r="F152" s="7">
        <f>E152/C152</f>
      </c>
      <c r="G152" s="7">
        <f>D152+F152</f>
      </c>
      <c r="H152" s="7">
        <f>G152*C152</f>
      </c>
      <c r="I152" s="7">
        <f>H152/(1-$B$2)</f>
      </c>
      <c r="J152" s="7">
        <f>I152/C152</f>
      </c>
      <c r="K152" s="7">
        <f>I152-H152</f>
      </c>
      <c r="L152" s="7">
        <f>K152/C152</f>
      </c>
      <c r="M152" s="8">
        <f>K152/I152</f>
      </c>
      <c r="N152" s="7"/>
      <c r="O152" s="7"/>
      <c r="P152" s="7"/>
      <c r="Q152" s="7"/>
      <c r="R152" s="7"/>
      <c r="S152" s="7"/>
      <c r="T152" s="7"/>
      <c r="U152" s="7">
        <f>G152/(1-$B$2)</f>
      </c>
    </row>
    <row r="153" spans="1:21" x14ac:dyDescent="0.25">
      <c r="A153" t="s">
        <v>73</v>
      </c>
      <c r="B153">
        <v>13</v>
      </c>
      <c r="C153">
        <v>5</v>
      </c>
      <c r="D153" s="9">
        <v>21.99</v>
      </c>
      <c r="E153" s="9">
        <v>45.99</v>
      </c>
      <c r="F153" s="9">
        <f>E153/C153</f>
      </c>
      <c r="G153" s="9">
        <f>D153+F153</f>
      </c>
      <c r="H153" s="9">
        <f>G153*C153</f>
      </c>
      <c r="I153" s="9">
        <f>H153/(1-$B$2)</f>
      </c>
      <c r="J153" s="9">
        <f>I153/C153</f>
      </c>
      <c r="K153" s="9">
        <f>I153-H153</f>
      </c>
      <c r="L153" s="9">
        <f>K153/C153</f>
      </c>
      <c r="M153" s="10">
        <f>K153/I153</f>
      </c>
      <c r="N153" s="9"/>
      <c r="O153" s="9"/>
      <c r="P153" s="9"/>
      <c r="Q153" s="9"/>
      <c r="R153" s="9"/>
      <c r="S153" s="9"/>
      <c r="T153" s="9"/>
      <c r="U153" s="9">
        <f>G153/(1-$B$2)</f>
      </c>
    </row>
    <row r="154" spans="1:21" x14ac:dyDescent="0.25">
      <c r="A154" s="6" t="s">
        <v>74</v>
      </c>
      <c r="B154" s="6">
        <v>8</v>
      </c>
      <c r="C154" s="6">
        <v>5</v>
      </c>
      <c r="D154" s="7">
        <v>14.34</v>
      </c>
      <c r="E154" s="7">
        <v>70.02</v>
      </c>
      <c r="F154" s="7">
        <f>E154/C154</f>
      </c>
      <c r="G154" s="7">
        <f>D154+F154</f>
      </c>
      <c r="H154" s="7">
        <f>G154*C154</f>
      </c>
      <c r="I154" s="7">
        <f>H154/(1-$B$2)</f>
      </c>
      <c r="J154" s="7">
        <f>I154/C154</f>
      </c>
      <c r="K154" s="7">
        <f>I154-H154</f>
      </c>
      <c r="L154" s="7">
        <f>K154/C154</f>
      </c>
      <c r="M154" s="8">
        <f>K154/I154</f>
      </c>
      <c r="N154" s="7"/>
      <c r="O154" s="7"/>
      <c r="P154" s="7"/>
      <c r="Q154" s="7"/>
      <c r="R154" s="7"/>
      <c r="S154" s="7"/>
      <c r="T154" s="7"/>
      <c r="U154" s="7">
        <f>G154/(1-$B$2)</f>
      </c>
    </row>
    <row r="155" spans="1:21" x14ac:dyDescent="0.25">
      <c r="A155" t="s">
        <v>74</v>
      </c>
      <c r="B155">
        <v>10</v>
      </c>
      <c r="C155">
        <v>5</v>
      </c>
      <c r="D155" s="9">
        <v>15.77</v>
      </c>
      <c r="E155" s="9">
        <v>70.02</v>
      </c>
      <c r="F155" s="9">
        <f>E155/C155</f>
      </c>
      <c r="G155" s="9">
        <f>D155+F155</f>
      </c>
      <c r="H155" s="9">
        <f>G155*C155</f>
      </c>
      <c r="I155" s="9">
        <f>H155/(1-$B$2)</f>
      </c>
      <c r="J155" s="9">
        <f>I155/C155</f>
      </c>
      <c r="K155" s="9">
        <f>I155-H155</f>
      </c>
      <c r="L155" s="9">
        <f>K155/C155</f>
      </c>
      <c r="M155" s="10">
        <f>K155/I155</f>
      </c>
      <c r="N155" s="9"/>
      <c r="O155" s="9"/>
      <c r="P155" s="9"/>
      <c r="Q155" s="9"/>
      <c r="R155" s="9"/>
      <c r="S155" s="9"/>
      <c r="T155" s="9"/>
      <c r="U155" s="9">
        <f>G155/(1-$B$2)</f>
      </c>
    </row>
    <row r="156" spans="1:21" x14ac:dyDescent="0.25">
      <c r="A156" s="6" t="s">
        <v>74</v>
      </c>
      <c r="B156" s="6">
        <v>13</v>
      </c>
      <c r="C156" s="6">
        <v>5</v>
      </c>
      <c r="D156" s="7">
        <v>25.8</v>
      </c>
      <c r="E156" s="7">
        <v>70.02</v>
      </c>
      <c r="F156" s="7">
        <f>E156/C156</f>
      </c>
      <c r="G156" s="7">
        <f>D156+F156</f>
      </c>
      <c r="H156" s="7">
        <f>G156*C156</f>
      </c>
      <c r="I156" s="7">
        <f>H156/(1-$B$2)</f>
      </c>
      <c r="J156" s="7">
        <f>I156/C156</f>
      </c>
      <c r="K156" s="7">
        <f>I156-H156</f>
      </c>
      <c r="L156" s="7">
        <f>K156/C156</f>
      </c>
      <c r="M156" s="8">
        <f>K156/I156</f>
      </c>
      <c r="N156" s="7"/>
      <c r="O156" s="7"/>
      <c r="P156" s="7"/>
      <c r="Q156" s="7"/>
      <c r="R156" s="7"/>
      <c r="S156" s="7"/>
      <c r="T156" s="7"/>
      <c r="U156" s="7">
        <f>G156/(1-$B$2)</f>
      </c>
    </row>
  </sheetData>
  <mergeCells count="1">
    <mergeCell ref="A1:T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Pricing Analysis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Factor Filter</dc:creator>
  <dc:title/>
  <dc:subject/>
  <dc:description/>
  <cp:keywords/>
  <cp:category/>
  <cp:lastModifiedBy>Unknown</cp:lastModifiedBy>
  <dcterms:created xsi:type="dcterms:W3CDTF">2026-05-04T22:06:31Z</dcterms:created>
  <dcterms:modified xsi:type="dcterms:W3CDTF">2026-05-04T22:06:31Z</dcterms:modified>
</cp:coreProperties>
</file>